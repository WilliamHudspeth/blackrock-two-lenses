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drawings/vmlDrawing4.vml" ContentType="application/vnd.openxmlformats-officedocument.vmlDrawing"/>
  <Override PartName="/xl/comments2.xml" ContentType="application/vnd.openxmlformats-officedocument.spreadsheetml.comments+xml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OTP" sheetId="1" state="visible" r:id="rId3"/>
    <sheet name="Two-Stage" sheetId="2" state="visible" r:id="rId4"/>
    <sheet name="Reverse DCF" sheetId="3" state="visible" r:id="rId5"/>
    <sheet name="Sensitivity" sheetId="4" state="visible" r:id="rId6"/>
    <sheet name="Two Lenses" sheetId="5" state="visible" r:id="rId7"/>
    <sheet name="Assumptions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5" authorId="0">
      <text>
        <r>
          <rPr>
            <sz val="10"/>
            <rFont val="Arial"/>
            <family val="2"/>
          </rPr>
          <t xml:space="preserve">US 10Y Treasury, May 2026</t>
        </r>
      </text>
    </comment>
    <comment ref="E17" authorId="0">
      <text>
        <r>
          <rPr>
            <sz val="10"/>
            <rFont val="Arial"/>
            <family val="2"/>
          </rPr>
          <t xml:space="preserve">BLK 10-K 2024</t>
        </r>
      </text>
    </comment>
    <comment ref="E18" authorId="0">
      <text>
        <r>
          <rPr>
            <sz val="10"/>
            <rFont val="Arial"/>
            <family val="2"/>
          </rPr>
          <t xml:space="preserve">Author estimate</t>
        </r>
      </text>
    </comment>
    <comment ref="E19" authorId="0">
      <text>
        <r>
          <rPr>
            <sz val="10"/>
            <rFont val="Arial"/>
            <family val="2"/>
          </rPr>
          <t xml:space="preserve">Two-stage growth premium (links to Two-Stage tab)</t>
        </r>
      </text>
    </comment>
    <comment ref="E20" authorId="0">
      <text>
        <r>
          <rPr>
            <sz val="10"/>
            <rFont val="Arial"/>
            <family val="2"/>
          </rPr>
          <t xml:space="preserve">Cap-honest correction</t>
        </r>
      </text>
    </comment>
    <comment ref="E21" authorId="0">
      <text>
        <r>
          <rPr>
            <sz val="10"/>
            <rFont val="Arial"/>
            <family val="2"/>
          </rPr>
          <t xml:space="preserve">Cap-honest correction</t>
        </r>
      </text>
    </comment>
    <comment ref="E24" authorId="0">
      <text>
        <r>
          <rPr>
            <sz val="10"/>
            <rFont val="Arial"/>
            <family val="2"/>
          </rPr>
          <t xml:space="preserve">Gross single-stage + overlay, without the Aladdin/GIP cap corrections</t>
        </r>
      </text>
    </comment>
  </commentList>
</comments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J5" authorId="0">
      <text>
        <r>
          <rPr>
            <sz val="10"/>
            <rFont val="Arial"/>
            <family val="2"/>
          </rPr>
          <t xml:space="preserve">PV of margin expansion over the explicit window (the +$114 overlay)</t>
        </r>
      </text>
    </comment>
    <comment ref="J6" authorId="0">
      <text>
        <r>
          <rPr>
            <sz val="10"/>
            <rFont val="Arial"/>
            <family val="2"/>
          </rPr>
          <t xml:space="preserve">8% explicit faded to the Rf cap; single-stage table overstated this by ~$8B</t>
        </r>
      </text>
    </comment>
    <comment ref="J7" authorId="0">
      <text>
        <r>
          <rPr>
            <sz val="10"/>
            <rFont val="Arial"/>
            <family val="2"/>
          </rPr>
          <t xml:space="preserve">5% explicit faded to the Rf cap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1" authorId="0">
      <text>
        <r>
          <rPr>
            <sz val="10"/>
            <rFont val="Arial"/>
            <family val="2"/>
          </rPr>
          <t xml:space="preserve">Solved by reverse DCF vs 6.5% base; verification at right</t>
        </r>
      </text>
    </comment>
    <comment ref="B12" authorId="0">
      <text>
        <r>
          <rPr>
            <sz val="10"/>
            <rFont val="Arial"/>
            <family val="2"/>
          </rPr>
          <t xml:space="preserve">Solved: ~87bp below the 8.93% base</t>
        </r>
      </text>
    </comment>
    <comment ref="B14" authorId="0">
      <text>
        <r>
          <rPr>
            <sz val="10"/>
            <rFont val="Arial"/>
            <family val="2"/>
          </rPr>
          <t xml:space="preserve">Cap-honest franchise premium is ~$62; market pays ~$239</t>
        </r>
      </text>
    </comment>
    <comment ref="F11" authorId="0">
      <text>
        <r>
          <rPr>
            <sz val="10"/>
            <rFont val="Arial"/>
            <family val="2"/>
          </rPr>
          <t xml:space="preserve">Reconciles to ~$1,085, confirming the implied growth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4" authorId="0">
      <text>
        <r>
          <rPr>
            <sz val="10"/>
            <rFont val="Arial"/>
            <family val="2"/>
          </rPr>
          <t xml:space="preserve">Low</t>
        </r>
      </text>
    </comment>
    <comment ref="C4" authorId="0">
      <text>
        <r>
          <rPr>
            <sz val="10"/>
            <rFont val="Arial"/>
            <family val="2"/>
          </rPr>
          <t xml:space="preserve">Base</t>
        </r>
      </text>
    </comment>
    <comment ref="D4" authorId="0">
      <text>
        <r>
          <rPr>
            <sz val="10"/>
            <rFont val="Arial"/>
            <family val="2"/>
          </rPr>
          <t xml:space="preserve">High</t>
        </r>
      </text>
    </comment>
  </commentList>
</comments>
</file>

<file path=xl/sharedStrings.xml><?xml version="1.0" encoding="utf-8"?>
<sst xmlns="http://schemas.openxmlformats.org/spreadsheetml/2006/main" count="126" uniqueCount="118">
  <si>
    <t xml:space="preserve">BlackRock — Sum-of-the-Parts (central case)</t>
  </si>
  <si>
    <t xml:space="preserve">Cap-consistent two-stage basis  ·  Rf 4.30%, price $1,085 (Apr 2026 academic version)</t>
  </si>
  <si>
    <t xml:space="preserve">KEY INPUTS</t>
  </si>
  <si>
    <t xml:space="preserve">Risk-free rate (Rf)</t>
  </si>
  <si>
    <t xml:space="preserve">Terminal growth cap (= Rf)</t>
  </si>
  <si>
    <t xml:space="preserve">Shares outstanding (mm)</t>
  </si>
  <si>
    <t xml:space="preserve">Current price ($/sh)</t>
  </si>
  <si>
    <t xml:space="preserve">SUM-OF-THE-PARTS</t>
  </si>
  <si>
    <t xml:space="preserve">Segment</t>
  </si>
  <si>
    <t xml:space="preserve">FCFE ($B)</t>
  </si>
  <si>
    <t xml:space="preserve">g</t>
  </si>
  <si>
    <t xml:space="preserve">Ke</t>
  </si>
  <si>
    <t xml:space="preserve">Value ($B)</t>
  </si>
  <si>
    <t xml:space="preserve">$ / share</t>
  </si>
  <si>
    <t xml:space="preserve">iShares &amp; Public Markets</t>
  </si>
  <si>
    <t xml:space="preserve">Aladdin Technology</t>
  </si>
  <si>
    <t xml:space="preserve">GIP Infrastructure</t>
  </si>
  <si>
    <t xml:space="preserve">HPS Private Credit</t>
  </si>
  <si>
    <t xml:space="preserve">Gross segment sum (single-stage)</t>
  </si>
  <si>
    <t xml:space="preserve">Less: net debt</t>
  </si>
  <si>
    <t xml:space="preserve">Less: co-invest capital drag</t>
  </si>
  <si>
    <t xml:space="preserve">Plus: iShares operating-leverage overlay</t>
  </si>
  <si>
    <t xml:space="preserve">Less: Aladdin terminal-cap adjustment</t>
  </si>
  <si>
    <t xml:space="preserve">Less: GIP terminal-cap adjustment</t>
  </si>
  <si>
    <t xml:space="preserve">NET SOTP — central case (≈ $906)</t>
  </si>
  <si>
    <t xml:space="preserve">Memo: Aladdin-single-stage upper bound (≈$959)</t>
  </si>
  <si>
    <t xml:space="preserve">Memo: downside to current price</t>
  </si>
  <si>
    <t xml:space="preserve">Two-Stage Segment Detail (cap-consistent)</t>
  </si>
  <si>
    <t xml:space="preserve">Explicit high-growth window fading to a terminal rate capped at Rf (4.30%). Cols H/I/J feed the SOTP tab.</t>
  </si>
  <si>
    <t xml:space="preserve">single-g</t>
  </si>
  <si>
    <t xml:space="preserve">explicit g</t>
  </si>
  <si>
    <t xml:space="preserve">yrs</t>
  </si>
  <si>
    <t xml:space="preserve">term g</t>
  </si>
  <si>
    <t xml:space="preserve">Single-stage</t>
  </si>
  <si>
    <t xml:space="preserve">Two-stage</t>
  </si>
  <si>
    <t xml:space="preserve">Adjustment</t>
  </si>
  <si>
    <t xml:space="preserve">Adjustment column J flows to SOTP as the overlay (iShares) and the terminal-cap corrections (Aladdin, GIP).</t>
  </si>
  <si>
    <t xml:space="preserve">Market-Implied Expectations (Reverse DCF)</t>
  </si>
  <si>
    <t xml:space="preserve">Hold the cap-consistent SOTP fixed; solve for what the $1,085 price embeds (Mauboussin &amp; Rappaport).</t>
  </si>
  <si>
    <t xml:space="preserve">Market cap ($B)</t>
  </si>
  <si>
    <t xml:space="preserve">Central-case value ($/sh)</t>
  </si>
  <si>
    <t xml:space="preserve">Premium market pays over base ($/sh)</t>
  </si>
  <si>
    <t xml:space="preserve">   = ($B)</t>
  </si>
  <si>
    <t xml:space="preserve">WHAT THE PRICE IMPLIES</t>
  </si>
  <si>
    <t xml:space="preserve">Implied iShares 5-yr explicit growth</t>
  </si>
  <si>
    <t xml:space="preserve">(base 6.5%)</t>
  </si>
  <si>
    <t xml:space="preserve">value at implied g →</t>
  </si>
  <si>
    <t xml:space="preserve">Implied blended cost of equity</t>
  </si>
  <si>
    <t xml:space="preserve">(base 8.93%)</t>
  </si>
  <si>
    <t xml:space="preserve">Mechanical SOTP (single-stage, no premium)</t>
  </si>
  <si>
    <t xml:space="preserve">Implied franchise premium over mechanical ($/sh)</t>
  </si>
  <si>
    <t xml:space="preserve">(mine ~$62)</t>
  </si>
  <si>
    <t xml:space="preserve">Market-implied P(bull $1,147 over base)</t>
  </si>
  <si>
    <t xml:space="preserve">PROBABILITY-WEIGHTED EXPECTED VALUE</t>
  </si>
  <si>
    <t xml:space="preserve">Scenario</t>
  </si>
  <si>
    <t xml:space="preserve">Prob.</t>
  </si>
  <si>
    <t xml:space="preserve">$/sh</t>
  </si>
  <si>
    <t xml:space="preserve">Bull (mgmt $35B 2030 target)</t>
  </si>
  <si>
    <t xml:space="preserve">Base (cap-honest central)</t>
  </si>
  <si>
    <t xml:space="preserve">Bear (rate-sensitive)</t>
  </si>
  <si>
    <t xml:space="preserve">Macro tail</t>
  </si>
  <si>
    <t xml:space="preserve">Probability-weighted E[value]</t>
  </si>
  <si>
    <t xml:space="preserve">E[value] vs current price</t>
  </si>
  <si>
    <t xml:space="preserve">Read: every implied input is achievable but unproven; the private-credit gating pushes the other way.</t>
  </si>
  <si>
    <t xml:space="preserve">E[value] below price under any reasonable weighting → the central-case HOLD carries a trim bias at $1,085.</t>
  </si>
  <si>
    <t xml:space="preserve">Sensitivity — fair value / share (cap-consistent)</t>
  </si>
  <si>
    <t xml:space="preserve">Rows: iShares Ke   ·   Cols: Aladdin probability-weighted FCFE ($B). Central cell = base case.</t>
  </si>
  <si>
    <t xml:space="preserve">iShares Ke \ Aladdin FCFE</t>
  </si>
  <si>
    <t xml:space="preserve">Central case (Ke 8.50%, Aladdin $0.575B) ties to the ≈$906 base.</t>
  </si>
  <si>
    <t xml:space="preserve">One Asset, Two Lenses — the bridge</t>
  </si>
  <si>
    <t xml:space="preserve">LENS</t>
  </si>
  <si>
    <t xml:space="preserve">Fair value $/sh</t>
  </si>
  <si>
    <t xml:space="preserve">vs. price</t>
  </si>
  <si>
    <t xml:space="preserve">Platform Compounder (central, cap-honest)</t>
  </si>
  <si>
    <t xml:space="preserve">Rate-Sensitive Asset Manager</t>
  </si>
  <si>
    <t xml:space="preserve">Market-implied (the third lens)</t>
  </si>
  <si>
    <t xml:space="preserve">Recommendation: HOLD with explicit trim bias. Accumulate in the high-$800s / low-$900s.</t>
  </si>
  <si>
    <t xml:space="preserve">Key Assumptions &amp; Sources</t>
  </si>
  <si>
    <t xml:space="preserve">Input</t>
  </si>
  <si>
    <t xml:space="preserve">Value</t>
  </si>
  <si>
    <t xml:space="preserve">Source / note</t>
  </si>
  <si>
    <t xml:space="preserve">Central case (cap-consistent)</t>
  </si>
  <si>
    <t xml:space="preserve">≈ $906</t>
  </si>
  <si>
    <t xml:space="preserve">Two-stage all segments, terminal capped at Rf</t>
  </si>
  <si>
    <t xml:space="preserve">Aladdin-single-stage upper bound</t>
  </si>
  <si>
    <t xml:space="preserve">≈ $959</t>
  </si>
  <si>
    <t xml:space="preserve">Aladdin as software-like perpetuity (memo)</t>
  </si>
  <si>
    <t xml:space="preserve">Rate-Sensitive lens</t>
  </si>
  <si>
    <t xml:space="preserve">$825</t>
  </si>
  <si>
    <t xml:space="preserve">Overrides at full conservative magnitude</t>
  </si>
  <si>
    <t xml:space="preserve">Bull / Bear</t>
  </si>
  <si>
    <t xml:space="preserve">$1,147 / $825</t>
  </si>
  <si>
    <t xml:space="preserve">Mgmt $35B 2030 target / AUM-cycle dominance</t>
  </si>
  <si>
    <t xml:space="preserve">Current price</t>
  </si>
  <si>
    <t xml:space="preserve">$1,085</t>
  </si>
  <si>
    <t xml:space="preserve">NYSE BLK, Apr 2026 (paper basis)</t>
  </si>
  <si>
    <t xml:space="preserve">Downside to fair value</t>
  </si>
  <si>
    <t xml:space="preserve">−16.5%</t>
  </si>
  <si>
    <t xml:space="preserve">$906 vs $1,085</t>
  </si>
  <si>
    <t xml:space="preserve">Risk-free rate / terminal cap</t>
  </si>
  <si>
    <t xml:space="preserve">4.30%</t>
  </si>
  <si>
    <t xml:space="preserve">US 10Y, May 2026</t>
  </si>
  <si>
    <t xml:space="preserve">Blended Ke</t>
  </si>
  <si>
    <t xml:space="preserve">8.93%</t>
  </si>
  <si>
    <t xml:space="preserve">Op-income-weighted segment Kes</t>
  </si>
  <si>
    <t xml:space="preserve">Net debt / co-invest drag</t>
  </si>
  <si>
    <t xml:space="preserve">−$3.5B / −$3.1B</t>
  </si>
  <si>
    <t xml:space="preserve">BLK 10-K 2024 / author estimate</t>
  </si>
  <si>
    <t xml:space="preserve">Shares outstanding</t>
  </si>
  <si>
    <t xml:space="preserve">155M</t>
  </si>
  <si>
    <t xml:space="preserve">BLK 2025 Annual Report</t>
  </si>
  <si>
    <t xml:space="preserve">Implied iShares growth (reverse DCF)</t>
  </si>
  <si>
    <t xml:space="preserve">~11.2%</t>
  </si>
  <si>
    <t xml:space="preserve">What $1,085 embeds vs 6.5% base</t>
  </si>
  <si>
    <t xml:space="preserve">Implied franchise premium (reverse DCF)</t>
  </si>
  <si>
    <t xml:space="preserve">~$239/sh</t>
  </si>
  <si>
    <t xml:space="preserve">vs ~$62 cap-honest</t>
  </si>
  <si>
    <t xml:space="preserve">Academic exercise; not investment advice.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</si>
</sst>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.00%"/>
    <numFmt numFmtId="166" formatCode="#,##0"/>
    <numFmt numFmtId="167" formatCode="\$#,##0"/>
    <numFmt numFmtId="168" formatCode="0.000"/>
    <numFmt numFmtId="169" formatCode="0.0%"/>
    <numFmt numFmtId="170" formatCode="\$#,##0.0\B"/>
    <numFmt numFmtId="171" formatCode="0"/>
  </numFmts>
  <fonts count="3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16335E"/>
      <name val="Arial"/>
      <family val="0"/>
      <charset val="1"/>
    </font>
    <font>
      <i val="true"/>
      <sz val="9"/>
      <color rgb="FF6B6B73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10"/>
      <color rgb="FF16335E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i val="true"/>
      <sz val="10"/>
      <color rgb="FF000000"/>
      <name val="Arial"/>
      <family val="0"/>
      <charset val="1"/>
    </font>
    <font>
      <i val="true"/>
      <sz val="10"/>
      <color rgb="FF00800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9"/>
      <color rgb="FF000000"/>
      <name val="Arial"/>
      <family val="0"/>
      <charset val="1"/>
    </font>
    <font>
      <b val="true"/>
      <i val="true"/>
      <sz val="9"/>
      <color rgb="FFC00000"/>
      <name val="Arial"/>
      <family val="0"/>
      <charset val="1"/>
    </font>
    <font>
      <sz val="10"/>
      <name val="Arial"/>
      <family val="2"/>
    </font>
    <font>
      <b val="true"/>
      <sz val="14"/>
      <color rgb="FF16335E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b val="true"/>
      <sz val="10"/>
      <color rgb="FFC00000"/>
      <name val="Arial"/>
      <family val="0"/>
      <charset val="1"/>
    </font>
    <font>
      <sz val="10"/>
      <color rgb="FF008000"/>
      <name val="Arial"/>
      <family val="0"/>
      <charset val="1"/>
    </font>
    <font>
      <sz val="9"/>
      <color rgb="FF6B6B73"/>
      <name val="Arial"/>
      <family val="0"/>
      <charset val="1"/>
    </font>
    <font>
      <b val="true"/>
      <sz val="9"/>
      <color rgb="FF000000"/>
      <name val="Arial"/>
      <family val="0"/>
      <charset val="1"/>
    </font>
    <font>
      <sz val="9"/>
      <color rgb="FF000000"/>
      <name val="Arial"/>
      <family val="0"/>
      <charset val="1"/>
    </font>
    <font>
      <sz val="9"/>
      <color rgb="FF0000FF"/>
      <name val="Arial"/>
      <family val="0"/>
      <charset val="1"/>
    </font>
    <font>
      <sz val="9"/>
      <color rgb="FF008000"/>
      <name val="Arial"/>
      <family val="0"/>
      <charset val="1"/>
    </font>
    <font>
      <i val="true"/>
      <sz val="9"/>
      <color rgb="FF16335E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i val="true"/>
      <sz val="10"/>
      <color rgb="FF16335E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6335E"/>
        <bgColor rgb="FF333333"/>
      </patternFill>
    </fill>
    <fill>
      <patternFill patternType="solid">
        <fgColor rgb="FF6B6B73"/>
        <bgColor rgb="FF808080"/>
      </patternFill>
    </fill>
    <fill>
      <patternFill patternType="solid">
        <fgColor rgb="FFF1EEE7"/>
        <bgColor rgb="FFFFFFFF"/>
      </patternFill>
    </fill>
    <fill>
      <patternFill patternType="solid">
        <fgColor rgb="FFD8E8C8"/>
        <bgColor rgb="FFD9D5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5CC"/>
      </left>
      <right style="thin">
        <color rgb="FFD9D5CC"/>
      </right>
      <top style="thin">
        <color rgb="FFD9D5CC"/>
      </top>
      <bottom style="thin">
        <color rgb="FFD9D5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1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1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0" fontId="1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0" fontId="1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2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2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2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3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4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9" fontId="2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6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1EEE7"/>
      <rgbColor rgb="FFCCFFFF"/>
      <rgbColor rgb="FF660066"/>
      <rgbColor rgb="FFFF8080"/>
      <rgbColor rgb="FF0066CC"/>
      <rgbColor rgb="FFD9D5C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8E8C8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B6B73"/>
      <rgbColor rgb="FF969696"/>
      <rgbColor rgb="FF16335E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3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4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2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13"/>
    <col collapsed="false" customWidth="true" hidden="false" outlineLevel="0" max="3" min="3" style="0" width="9"/>
    <col collapsed="false" customWidth="true" hidden="false" outlineLevel="0" max="4" min="4" style="0" width="10"/>
    <col collapsed="false" customWidth="true" hidden="false" outlineLevel="0" max="5" min="5" style="0" width="13"/>
    <col collapsed="false" customWidth="true" hidden="false" outlineLevel="0" max="6" min="6" style="0" width="12"/>
  </cols>
  <sheetData>
    <row r="1" customFormat="false" ht="18.5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4"/>
      <c r="C4" s="4"/>
      <c r="D4" s="4"/>
      <c r="E4" s="4"/>
      <c r="F4" s="4"/>
    </row>
    <row r="5" customFormat="false" ht="15" hidden="false" customHeight="false" outlineLevel="0" collapsed="false">
      <c r="A5" s="5" t="s">
        <v>3</v>
      </c>
      <c r="B5" s="6" t="n">
        <v>0.043</v>
      </c>
    </row>
    <row r="6" customFormat="false" ht="15" hidden="false" customHeight="false" outlineLevel="0" collapsed="false">
      <c r="A6" s="5" t="s">
        <v>4</v>
      </c>
      <c r="B6" s="6" t="n">
        <v>0.043</v>
      </c>
    </row>
    <row r="7" customFormat="false" ht="15" hidden="false" customHeight="false" outlineLevel="0" collapsed="false">
      <c r="A7" s="5" t="s">
        <v>5</v>
      </c>
      <c r="B7" s="7" t="n">
        <v>155</v>
      </c>
    </row>
    <row r="8" customFormat="false" ht="15" hidden="false" customHeight="false" outlineLevel="0" collapsed="false">
      <c r="A8" s="5" t="s">
        <v>6</v>
      </c>
      <c r="B8" s="8" t="n">
        <v>1085</v>
      </c>
    </row>
    <row r="10" customFormat="false" ht="15" hidden="false" customHeight="false" outlineLevel="0" collapsed="false">
      <c r="A10" s="3" t="s">
        <v>7</v>
      </c>
      <c r="B10" s="4"/>
      <c r="C10" s="4"/>
      <c r="D10" s="4"/>
      <c r="E10" s="4"/>
      <c r="F10" s="4"/>
    </row>
    <row r="11" customFormat="false" ht="15" hidden="false" customHeight="false" outlineLevel="0" collapsed="false">
      <c r="A11" s="9" t="s">
        <v>8</v>
      </c>
      <c r="B11" s="10" t="s">
        <v>9</v>
      </c>
      <c r="C11" s="10" t="s">
        <v>10</v>
      </c>
      <c r="D11" s="10" t="s">
        <v>11</v>
      </c>
      <c r="E11" s="10" t="s">
        <v>12</v>
      </c>
      <c r="F11" s="10" t="s">
        <v>13</v>
      </c>
    </row>
    <row r="12" customFormat="false" ht="15" hidden="false" customHeight="false" outlineLevel="0" collapsed="false">
      <c r="A12" s="5" t="s">
        <v>14</v>
      </c>
      <c r="B12" s="11" t="n">
        <v>5.79</v>
      </c>
      <c r="C12" s="12" t="n">
        <v>0.03</v>
      </c>
      <c r="D12" s="6" t="n">
        <v>0.085</v>
      </c>
      <c r="E12" s="13" t="n">
        <f aca="false">B12*(1+C12)/(D12-C12)</f>
        <v>108.430909090909</v>
      </c>
      <c r="F12" s="14" t="n">
        <f aca="false">E12*1000/$B$7</f>
        <v>699.554252199413</v>
      </c>
    </row>
    <row r="13" customFormat="false" ht="15" hidden="false" customHeight="false" outlineLevel="0" collapsed="false">
      <c r="A13" s="5" t="s">
        <v>15</v>
      </c>
      <c r="B13" s="11" t="n">
        <v>0.575</v>
      </c>
      <c r="C13" s="12" t="n">
        <v>0.08</v>
      </c>
      <c r="D13" s="6" t="n">
        <v>0.1125</v>
      </c>
      <c r="E13" s="13" t="n">
        <f aca="false">B13*(1+C13)/(D13-C13)</f>
        <v>19.1076923076923</v>
      </c>
      <c r="F13" s="14" t="n">
        <f aca="false">E13*1000/$B$7</f>
        <v>123.275434243176</v>
      </c>
    </row>
    <row r="14" customFormat="false" ht="15" hidden="false" customHeight="false" outlineLevel="0" collapsed="false">
      <c r="A14" s="5" t="s">
        <v>16</v>
      </c>
      <c r="B14" s="11" t="n">
        <v>0.248</v>
      </c>
      <c r="C14" s="12" t="n">
        <v>0.05</v>
      </c>
      <c r="D14" s="6" t="n">
        <v>0.1</v>
      </c>
      <c r="E14" s="13" t="n">
        <f aca="false">B14*(1+C14)/(D14-C14)</f>
        <v>5.208</v>
      </c>
      <c r="F14" s="14" t="n">
        <f aca="false">E14*1000/$B$7</f>
        <v>33.6</v>
      </c>
    </row>
    <row r="15" customFormat="false" ht="15" hidden="false" customHeight="false" outlineLevel="0" collapsed="false">
      <c r="A15" s="5" t="s">
        <v>17</v>
      </c>
      <c r="B15" s="11" t="n">
        <v>0.288</v>
      </c>
      <c r="C15" s="12" t="n">
        <v>0.04</v>
      </c>
      <c r="D15" s="6" t="n">
        <v>0.1</v>
      </c>
      <c r="E15" s="13" t="n">
        <f aca="false">B15*(1+C15)/(D15-C15)</f>
        <v>4.992</v>
      </c>
      <c r="F15" s="14" t="n">
        <f aca="false">E15*1000/$B$7</f>
        <v>32.2064516129032</v>
      </c>
    </row>
    <row r="16" customFormat="false" ht="15" hidden="false" customHeight="false" outlineLevel="0" collapsed="false">
      <c r="A16" s="15" t="s">
        <v>18</v>
      </c>
      <c r="B16" s="16"/>
      <c r="C16" s="16"/>
      <c r="D16" s="16"/>
      <c r="E16" s="17" t="n">
        <f aca="false">SUM(E12:E15)</f>
        <v>137.738601398601</v>
      </c>
      <c r="F16" s="18" t="n">
        <f aca="false">E16*1000/$B$7</f>
        <v>888.636138055493</v>
      </c>
    </row>
    <row r="17" customFormat="false" ht="15" hidden="false" customHeight="false" outlineLevel="0" collapsed="false">
      <c r="A17" s="19" t="s">
        <v>19</v>
      </c>
      <c r="B17" s="20"/>
      <c r="C17" s="20"/>
      <c r="D17" s="20"/>
      <c r="E17" s="21" t="n">
        <f aca="false">-3.5</f>
        <v>-3.5</v>
      </c>
      <c r="F17" s="22" t="n">
        <f aca="false">E17*1000/$B$7</f>
        <v>-22.5806451612903</v>
      </c>
    </row>
    <row r="18" customFormat="false" ht="15" hidden="false" customHeight="false" outlineLevel="0" collapsed="false">
      <c r="A18" s="19" t="s">
        <v>20</v>
      </c>
      <c r="B18" s="20"/>
      <c r="C18" s="20"/>
      <c r="D18" s="20"/>
      <c r="E18" s="21" t="n">
        <f aca="false">-3.1</f>
        <v>-3.1</v>
      </c>
      <c r="F18" s="22" t="n">
        <f aca="false">E18*1000/$B$7</f>
        <v>-20</v>
      </c>
    </row>
    <row r="19" customFormat="false" ht="15" hidden="false" customHeight="false" outlineLevel="0" collapsed="false">
      <c r="A19" s="19" t="s">
        <v>21</v>
      </c>
      <c r="B19" s="20"/>
      <c r="C19" s="20"/>
      <c r="D19" s="20"/>
      <c r="E19" s="23" t="n">
        <f aca="false">'Two-Stage'!J5</f>
        <v>17.7559528525287</v>
      </c>
      <c r="F19" s="22" t="n">
        <f aca="false">E19*1000/$B$7</f>
        <v>114.554534532443</v>
      </c>
    </row>
    <row r="20" customFormat="false" ht="15" hidden="false" customHeight="false" outlineLevel="0" collapsed="false">
      <c r="A20" s="19" t="s">
        <v>22</v>
      </c>
      <c r="B20" s="20"/>
      <c r="C20" s="20"/>
      <c r="D20" s="20"/>
      <c r="E20" s="23" t="n">
        <f aca="false">'Two-Stage'!J6</f>
        <v>-7.7900237399789</v>
      </c>
      <c r="F20" s="22" t="n">
        <f aca="false">E20*1000/$B$7</f>
        <v>-50.2582176772833</v>
      </c>
    </row>
    <row r="21" customFormat="false" ht="15" hidden="false" customHeight="false" outlineLevel="0" collapsed="false">
      <c r="A21" s="19" t="s">
        <v>23</v>
      </c>
      <c r="B21" s="20"/>
      <c r="C21" s="20"/>
      <c r="D21" s="20"/>
      <c r="E21" s="23" t="n">
        <f aca="false">'Two-Stage'!J7</f>
        <v>-0.420788328420331</v>
      </c>
      <c r="F21" s="22" t="n">
        <f aca="false">E21*1000/$B$7</f>
        <v>-2.71476340916343</v>
      </c>
    </row>
    <row r="22" customFormat="false" ht="15" hidden="false" customHeight="false" outlineLevel="0" collapsed="false">
      <c r="A22" s="24" t="s">
        <v>24</v>
      </c>
      <c r="B22" s="4"/>
      <c r="C22" s="4"/>
      <c r="D22" s="4"/>
      <c r="E22" s="25" t="n">
        <f aca="false">E16+E17+E18+E19+E20+E21</f>
        <v>140.683742182731</v>
      </c>
      <c r="F22" s="26" t="n">
        <f aca="false">E22*1000/$B$7</f>
        <v>907.637046340199</v>
      </c>
    </row>
    <row r="24" customFormat="false" ht="15" hidden="false" customHeight="false" outlineLevel="0" collapsed="false">
      <c r="A24" s="27" t="s">
        <v>25</v>
      </c>
      <c r="E24" s="28" t="n">
        <f aca="false">E16+E19+E17+E18</f>
        <v>148.89455425113</v>
      </c>
      <c r="F24" s="29" t="n">
        <f aca="false">E24*1000/$B$7</f>
        <v>960.610027426646</v>
      </c>
    </row>
    <row r="25" customFormat="false" ht="15" hidden="false" customHeight="false" outlineLevel="0" collapsed="false">
      <c r="A25" s="27" t="s">
        <v>26</v>
      </c>
      <c r="F25" s="30" t="n">
        <f aca="false">F22/$B$8-1</f>
        <v>-0.163468160055116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1"/>
    <col collapsed="false" customWidth="true" hidden="false" outlineLevel="0" max="4" min="3" style="0" width="10"/>
    <col collapsed="false" customWidth="true" hidden="false" outlineLevel="0" max="5" min="5" style="0" width="7"/>
    <col collapsed="false" customWidth="true" hidden="false" outlineLevel="0" max="7" min="6" style="0" width="9"/>
    <col collapsed="false" customWidth="true" hidden="false" outlineLevel="0" max="10" min="8" style="0" width="13"/>
  </cols>
  <sheetData>
    <row r="1" customFormat="false" ht="17.35" hidden="false" customHeight="false" outlineLevel="0" collapsed="false">
      <c r="A1" s="31" t="s">
        <v>27</v>
      </c>
    </row>
    <row r="2" customFormat="false" ht="15" hidden="false" customHeight="false" outlineLevel="0" collapsed="false">
      <c r="A2" s="2" t="s">
        <v>28</v>
      </c>
    </row>
    <row r="4" customFormat="false" ht="15" hidden="false" customHeight="false" outlineLevel="0" collapsed="false">
      <c r="A4" s="9" t="s">
        <v>8</v>
      </c>
      <c r="B4" s="10" t="s">
        <v>9</v>
      </c>
      <c r="C4" s="10" t="s">
        <v>29</v>
      </c>
      <c r="D4" s="10" t="s">
        <v>30</v>
      </c>
      <c r="E4" s="10" t="s">
        <v>31</v>
      </c>
      <c r="F4" s="10" t="s">
        <v>32</v>
      </c>
      <c r="G4" s="10" t="s">
        <v>11</v>
      </c>
      <c r="H4" s="10" t="s">
        <v>33</v>
      </c>
      <c r="I4" s="10" t="s">
        <v>34</v>
      </c>
      <c r="J4" s="10" t="s">
        <v>35</v>
      </c>
    </row>
    <row r="5" customFormat="false" ht="15" hidden="false" customHeight="false" outlineLevel="0" collapsed="false">
      <c r="A5" s="5" t="s">
        <v>14</v>
      </c>
      <c r="B5" s="11" t="n">
        <v>5.79</v>
      </c>
      <c r="C5" s="12" t="n">
        <v>0.03</v>
      </c>
      <c r="D5" s="12" t="n">
        <v>0.065</v>
      </c>
      <c r="E5" s="32" t="n">
        <v>5</v>
      </c>
      <c r="F5" s="12" t="n">
        <v>0.03</v>
      </c>
      <c r="G5" s="6" t="n">
        <v>0.085</v>
      </c>
      <c r="H5" s="13" t="n">
        <f aca="false">B5*(1+C5)/(G5-C5)</f>
        <v>108.430909090909</v>
      </c>
      <c r="I5" s="13" t="n">
        <f aca="false">B5*(1+0.065)*(1-((1+0.065)/(1+G5))^5)/(G5-0.065)+B5*(1+0.065)^5*(1+0.03)/(G5-0.03)/(1+G5)^5</f>
        <v>126.186861943438</v>
      </c>
      <c r="J5" s="33" t="n">
        <f aca="false">I5-H5</f>
        <v>17.7559528525287</v>
      </c>
    </row>
    <row r="6" customFormat="false" ht="15" hidden="false" customHeight="false" outlineLevel="0" collapsed="false">
      <c r="A6" s="5" t="s">
        <v>15</v>
      </c>
      <c r="B6" s="11" t="n">
        <v>0.575</v>
      </c>
      <c r="C6" s="12" t="n">
        <v>0.08</v>
      </c>
      <c r="D6" s="12" t="n">
        <v>0.08</v>
      </c>
      <c r="E6" s="32" t="n">
        <v>10</v>
      </c>
      <c r="F6" s="12" t="n">
        <v>0.043</v>
      </c>
      <c r="G6" s="6" t="n">
        <v>0.1125</v>
      </c>
      <c r="H6" s="13" t="n">
        <f aca="false">B6*(1+C6)/(G6-C6)</f>
        <v>19.1076923076923</v>
      </c>
      <c r="I6" s="13" t="n">
        <f aca="false">B6*(1+0.08)*(1-((1+0.08)/(1+G6))^10)/(G6-0.08)+B6*(1+0.08)^10*(1+0.043)/(G6-0.043)/(1+G6)^10</f>
        <v>11.3176685677134</v>
      </c>
      <c r="J6" s="34" t="n">
        <f aca="false">I6-H6</f>
        <v>-7.7900237399789</v>
      </c>
    </row>
    <row r="7" customFormat="false" ht="15" hidden="false" customHeight="false" outlineLevel="0" collapsed="false">
      <c r="A7" s="5" t="s">
        <v>16</v>
      </c>
      <c r="B7" s="11" t="n">
        <v>0.248</v>
      </c>
      <c r="C7" s="12" t="n">
        <v>0.05</v>
      </c>
      <c r="D7" s="12" t="n">
        <v>0.05</v>
      </c>
      <c r="E7" s="32" t="n">
        <v>10</v>
      </c>
      <c r="F7" s="12" t="n">
        <v>0.043</v>
      </c>
      <c r="G7" s="6" t="n">
        <v>0.1</v>
      </c>
      <c r="H7" s="13" t="n">
        <f aca="false">B7*(1+C7)/(G7-C7)</f>
        <v>5.208</v>
      </c>
      <c r="I7" s="13" t="n">
        <f aca="false">B7*(1+0.05)*(1-((1+0.05)/(1+G7))^10)/(G7-0.05)+B7*(1+0.05)^10*(1+0.043)/(G7-0.043)/(1+G7)^10</f>
        <v>4.78721167157967</v>
      </c>
      <c r="J7" s="34" t="n">
        <f aca="false">I7-H7</f>
        <v>-0.420788328420331</v>
      </c>
    </row>
    <row r="9" customFormat="false" ht="15" hidden="false" customHeight="false" outlineLevel="0" collapsed="false">
      <c r="A9" s="2" t="s">
        <v>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4"/>
    <col collapsed="false" customWidth="true" hidden="false" outlineLevel="0" max="3" min="3" style="0" width="15"/>
    <col collapsed="false" customWidth="true" hidden="false" outlineLevel="0" max="4" min="4" style="0" width="3"/>
    <col collapsed="false" customWidth="true" hidden="false" outlineLevel="0" max="5" min="5" style="0" width="24"/>
    <col collapsed="false" customWidth="true" hidden="false" outlineLevel="0" max="6" min="6" style="0" width="12"/>
  </cols>
  <sheetData>
    <row r="1" customFormat="false" ht="17.35" hidden="false" customHeight="false" outlineLevel="0" collapsed="false">
      <c r="A1" s="31" t="s">
        <v>37</v>
      </c>
    </row>
    <row r="2" customFormat="false" ht="15" hidden="false" customHeight="false" outlineLevel="0" collapsed="false">
      <c r="A2" s="2" t="s">
        <v>38</v>
      </c>
    </row>
    <row r="4" customFormat="false" ht="15" hidden="false" customHeight="false" outlineLevel="0" collapsed="false">
      <c r="A4" s="5" t="s">
        <v>6</v>
      </c>
      <c r="B4" s="35" t="n">
        <f aca="false">SOTP!B8</f>
        <v>1085</v>
      </c>
    </row>
    <row r="5" customFormat="false" ht="15" hidden="false" customHeight="false" outlineLevel="0" collapsed="false">
      <c r="A5" s="5" t="s">
        <v>39</v>
      </c>
      <c r="B5" s="13" t="n">
        <f aca="false">B4*SOTP!B7/1000</f>
        <v>168.175</v>
      </c>
    </row>
    <row r="6" customFormat="false" ht="15" hidden="false" customHeight="false" outlineLevel="0" collapsed="false">
      <c r="A6" s="5" t="s">
        <v>40</v>
      </c>
      <c r="B6" s="35" t="n">
        <f aca="false">SOTP!F22</f>
        <v>907.637046340199</v>
      </c>
    </row>
    <row r="7" customFormat="false" ht="15" hidden="false" customHeight="false" outlineLevel="0" collapsed="false">
      <c r="A7" s="36" t="s">
        <v>41</v>
      </c>
      <c r="B7" s="37" t="n">
        <f aca="false">B4-B6</f>
        <v>177.362953659801</v>
      </c>
    </row>
    <row r="8" customFormat="false" ht="15" hidden="false" customHeight="false" outlineLevel="0" collapsed="false">
      <c r="A8" s="27" t="s">
        <v>42</v>
      </c>
      <c r="B8" s="28" t="n">
        <f aca="false">B7*SOTP!B7/1000</f>
        <v>27.4912578172691</v>
      </c>
    </row>
    <row r="10" customFormat="false" ht="15" hidden="false" customHeight="false" outlineLevel="0" collapsed="false">
      <c r="A10" s="3" t="s">
        <v>43</v>
      </c>
      <c r="B10" s="4"/>
      <c r="C10" s="4"/>
    </row>
    <row r="11" customFormat="false" ht="15" hidden="false" customHeight="false" outlineLevel="0" collapsed="false">
      <c r="A11" s="5" t="s">
        <v>44</v>
      </c>
      <c r="B11" s="12" t="n">
        <v>0.112</v>
      </c>
      <c r="C11" s="38" t="s">
        <v>45</v>
      </c>
      <c r="E11" s="27" t="s">
        <v>46</v>
      </c>
      <c r="F11" s="39" t="n">
        <f aca="false">(SOTP!B12*(1+B11)*(1-((1+B11)/(1+SOTP!D12))^5)/(SOTP!D12-B11)+SOTP!B12*(1+B11)^5*(1+0.03)/(SOTP!D12-0.03)/(1+SOTP!D12)^5+'Two-Stage'!I6+'Two-Stage'!I7+SOTP!E15-3.5-3.1)*1000/SOTP!B7</f>
        <v>1085.75405095013</v>
      </c>
    </row>
    <row r="12" customFormat="false" ht="15" hidden="false" customHeight="false" outlineLevel="0" collapsed="false">
      <c r="A12" s="5" t="s">
        <v>47</v>
      </c>
      <c r="B12" s="6" t="n">
        <v>0.0806</v>
      </c>
      <c r="C12" s="38" t="s">
        <v>48</v>
      </c>
    </row>
    <row r="13" customFormat="false" ht="15" hidden="false" customHeight="false" outlineLevel="0" collapsed="false">
      <c r="A13" s="5" t="s">
        <v>49</v>
      </c>
      <c r="B13" s="13" t="n">
        <f aca="false">SOTP!E16-3.5-3.1</f>
        <v>131.138601398601</v>
      </c>
      <c r="C13" s="40" t="n">
        <f aca="false">B13*1000/SOTP!B7</f>
        <v>846.055492894203</v>
      </c>
    </row>
    <row r="14" customFormat="false" ht="15" hidden="false" customHeight="false" outlineLevel="0" collapsed="false">
      <c r="A14" s="36" t="s">
        <v>50</v>
      </c>
      <c r="B14" s="37" t="n">
        <f aca="false">B4-C13</f>
        <v>238.944507105797</v>
      </c>
      <c r="C14" s="38" t="s">
        <v>51</v>
      </c>
    </row>
    <row r="15" customFormat="false" ht="15" hidden="false" customHeight="false" outlineLevel="0" collapsed="false">
      <c r="A15" s="36" t="s">
        <v>52</v>
      </c>
      <c r="B15" s="41" t="n">
        <f aca="false">(B4-B6)/(C19-B6)</f>
        <v>0.740979132100289</v>
      </c>
    </row>
    <row r="17" customFormat="false" ht="15" hidden="false" customHeight="false" outlineLevel="0" collapsed="false">
      <c r="A17" s="3" t="s">
        <v>53</v>
      </c>
      <c r="B17" s="4"/>
      <c r="C17" s="4"/>
    </row>
    <row r="18" customFormat="false" ht="15" hidden="false" customHeight="false" outlineLevel="0" collapsed="false">
      <c r="A18" s="42" t="s">
        <v>54</v>
      </c>
      <c r="B18" s="43" t="s">
        <v>55</v>
      </c>
      <c r="C18" s="43" t="s">
        <v>56</v>
      </c>
    </row>
    <row r="19" customFormat="false" ht="15" hidden="false" customHeight="false" outlineLevel="0" collapsed="false">
      <c r="A19" s="44" t="s">
        <v>57</v>
      </c>
      <c r="B19" s="45" t="n">
        <v>0.2</v>
      </c>
      <c r="C19" s="46" t="n">
        <v>1147</v>
      </c>
    </row>
    <row r="20" customFormat="false" ht="15" hidden="false" customHeight="false" outlineLevel="0" collapsed="false">
      <c r="A20" s="44" t="s">
        <v>58</v>
      </c>
      <c r="B20" s="45" t="n">
        <v>0.45</v>
      </c>
      <c r="C20" s="47" t="n">
        <f aca="false">B6</f>
        <v>907.637046340199</v>
      </c>
    </row>
    <row r="21" customFormat="false" ht="15" hidden="false" customHeight="false" outlineLevel="0" collapsed="false">
      <c r="A21" s="44" t="s">
        <v>59</v>
      </c>
      <c r="B21" s="45" t="n">
        <v>0.25</v>
      </c>
      <c r="C21" s="46" t="n">
        <v>825</v>
      </c>
    </row>
    <row r="22" customFormat="false" ht="15" hidden="false" customHeight="false" outlineLevel="0" collapsed="false">
      <c r="A22" s="44" t="s">
        <v>60</v>
      </c>
      <c r="B22" s="45" t="n">
        <v>0.1</v>
      </c>
      <c r="C22" s="46" t="n">
        <v>340</v>
      </c>
    </row>
    <row r="23" customFormat="false" ht="15" hidden="false" customHeight="false" outlineLevel="0" collapsed="false">
      <c r="A23" s="36" t="s">
        <v>61</v>
      </c>
      <c r="B23" s="48" t="n">
        <f aca="false">SUM(B19:B22)</f>
        <v>1</v>
      </c>
      <c r="C23" s="37" t="n">
        <f aca="false">SUMPRODUCT(B19:B22,C19:C22)</f>
        <v>878.08667085309</v>
      </c>
    </row>
    <row r="24" customFormat="false" ht="15" hidden="false" customHeight="false" outlineLevel="0" collapsed="false">
      <c r="A24" s="27" t="s">
        <v>62</v>
      </c>
      <c r="C24" s="30" t="n">
        <f aca="false">C23/B4-1</f>
        <v>-0.190703529167659</v>
      </c>
    </row>
    <row r="26" customFormat="false" ht="15" hidden="false" customHeight="false" outlineLevel="0" collapsed="false">
      <c r="A26" s="49" t="s">
        <v>63</v>
      </c>
    </row>
    <row r="27" customFormat="false" ht="15" hidden="false" customHeight="false" outlineLevel="0" collapsed="false">
      <c r="A27" s="49" t="s">
        <v>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4" min="2" style="0" width="13"/>
  </cols>
  <sheetData>
    <row r="1" customFormat="false" ht="17.35" hidden="false" customHeight="false" outlineLevel="0" collapsed="false">
      <c r="A1" s="31" t="s">
        <v>65</v>
      </c>
    </row>
    <row r="2" customFormat="false" ht="15" hidden="false" customHeight="false" outlineLevel="0" collapsed="false">
      <c r="A2" s="2" t="s">
        <v>66</v>
      </c>
    </row>
    <row r="4" customFormat="false" ht="15" hidden="false" customHeight="false" outlineLevel="0" collapsed="false">
      <c r="A4" s="50" t="s">
        <v>67</v>
      </c>
      <c r="B4" s="51" t="n">
        <v>0.5</v>
      </c>
      <c r="C4" s="51" t="n">
        <v>0.575</v>
      </c>
      <c r="D4" s="51" t="n">
        <v>0.65</v>
      </c>
    </row>
    <row r="5" customFormat="false" ht="15" hidden="false" customHeight="false" outlineLevel="0" collapsed="false">
      <c r="A5" s="52" t="n">
        <v>0.0825</v>
      </c>
      <c r="B5" s="40" t="n">
        <f aca="false">((SOTP!$B$12*(1+0.065)*(1-((1+0.065)/(1+$A5))^5)/($A5-0.065)+SOTP!$B$12*(1+0.065)^5*(1+0.03)/($A5-0.03)/(1+$A5)^5)+(B$4*(1+0.08)*(1-((1+0.08)/(1+0.1125))^10)/(0.1125-0.08)+B$4*(1+0.08)^10*(1+SOTP!$B$6)/(0.1125-SOTP!$B$6)/(1+0.1125)^10)+'Two-Stage'!$I$7+SOTP!$E$15-3.5-3.1)*1000/SOTP!$B$7</f>
        <v>937.425397532341</v>
      </c>
      <c r="C5" s="40" t="n">
        <f aca="false">((SOTP!$B$12*(1+0.065)*(1-((1+0.065)/(1+$A5))^5)/($A5-0.065)+SOTP!$B$12*(1+0.065)^5*(1+0.03)/($A5-0.03)/(1+$A5)^5)+(C$4*(1+0.08)*(1-((1+0.08)/(1+0.1125))^10)/(0.1125-0.08)+C$4*(1+0.08)^10*(1+SOTP!$B$6)/(0.1125-SOTP!$B$6)/(1+0.1125)^10)+'Two-Stage'!$I$7+SOTP!$E$15-3.5-3.1)*1000/SOTP!$B$7</f>
        <v>946.949382301805</v>
      </c>
      <c r="D5" s="40" t="n">
        <f aca="false">((SOTP!$B$12*(1+0.065)*(1-((1+0.065)/(1+$A5))^5)/($A5-0.065)+SOTP!$B$12*(1+0.065)^5*(1+0.03)/($A5-0.03)/(1+$A5)^5)+(D$4*(1+0.08)*(1-((1+0.08)/(1+0.1125))^10)/(0.1125-0.08)+D$4*(1+0.08)^10*(1+SOTP!$B$6)/(0.1125-SOTP!$B$6)/(1+0.1125)^10)+'Two-Stage'!$I$7+SOTP!$E$15-3.5-3.1)*1000/SOTP!$B$7</f>
        <v>956.473367071269</v>
      </c>
    </row>
    <row r="6" customFormat="false" ht="15" hidden="false" customHeight="false" outlineLevel="0" collapsed="false">
      <c r="A6" s="52" t="n">
        <v>0.085</v>
      </c>
      <c r="B6" s="40" t="n">
        <f aca="false">((SOTP!$B$12*(1+0.065)*(1-((1+0.065)/(1+$A6))^5)/($A6-0.065)+SOTP!$B$12*(1+0.065)^5*(1+0.03)/($A6-0.03)/(1+$A6)^5)+(B$4*(1+0.08)*(1-((1+0.08)/(1+0.1125))^10)/(0.1125-0.08)+B$4*(1+0.08)^10*(1+SOTP!$B$6)/(0.1125-SOTP!$B$6)/(1+0.1125)^10)+'Two-Stage'!$I$7+SOTP!$E$15-3.5-3.1)*1000/SOTP!$B$7</f>
        <v>898.113061570735</v>
      </c>
      <c r="C6" s="53" t="n">
        <f aca="false">((SOTP!$B$12*(1+0.065)*(1-((1+0.065)/(1+$A6))^5)/($A6-0.065)+SOTP!$B$12*(1+0.065)^5*(1+0.03)/($A6-0.03)/(1+$A6)^5)+(C$4*(1+0.08)*(1-((1+0.08)/(1+0.1125))^10)/(0.1125-0.08)+C$4*(1+0.08)^10*(1+SOTP!$B$6)/(0.1125-SOTP!$B$6)/(1+0.1125)^10)+'Two-Stage'!$I$7+SOTP!$E$15-3.5-3.1)*1000/SOTP!$B$7</f>
        <v>907.637046340199</v>
      </c>
      <c r="D6" s="40" t="n">
        <f aca="false">((SOTP!$B$12*(1+0.065)*(1-((1+0.065)/(1+$A6))^5)/($A6-0.065)+SOTP!$B$12*(1+0.065)^5*(1+0.03)/($A6-0.03)/(1+$A6)^5)+(D$4*(1+0.08)*(1-((1+0.08)/(1+0.1125))^10)/(0.1125-0.08)+D$4*(1+0.08)^10*(1+SOTP!$B$6)/(0.1125-SOTP!$B$6)/(1+0.1125)^10)+'Two-Stage'!$I$7+SOTP!$E$15-3.5-3.1)*1000/SOTP!$B$7</f>
        <v>917.161031109664</v>
      </c>
    </row>
    <row r="7" customFormat="false" ht="15" hidden="false" customHeight="false" outlineLevel="0" collapsed="false">
      <c r="A7" s="52" t="n">
        <v>0.0875</v>
      </c>
      <c r="B7" s="40" t="n">
        <f aca="false">((SOTP!$B$12*(1+0.065)*(1-((1+0.065)/(1+$A7))^5)/($A7-0.065)+SOTP!$B$12*(1+0.065)^5*(1+0.03)/($A7-0.03)/(1+$A7)^5)+(B$4*(1+0.08)*(1-((1+0.08)/(1+0.1125))^10)/(0.1125-0.08)+B$4*(1+0.08)^10*(1+SOTP!$B$6)/(0.1125-SOTP!$B$6)/(1+0.1125)^10)+'Two-Stage'!$I$7+SOTP!$E$15-3.5-3.1)*1000/SOTP!$B$7</f>
        <v>862.223735644178</v>
      </c>
      <c r="C7" s="40" t="n">
        <f aca="false">((SOTP!$B$12*(1+0.065)*(1-((1+0.065)/(1+$A7))^5)/($A7-0.065)+SOTP!$B$12*(1+0.065)^5*(1+0.03)/($A7-0.03)/(1+$A7)^5)+(C$4*(1+0.08)*(1-((1+0.08)/(1+0.1125))^10)/(0.1125-0.08)+C$4*(1+0.08)^10*(1+SOTP!$B$6)/(0.1125-SOTP!$B$6)/(1+0.1125)^10)+'Two-Stage'!$I$7+SOTP!$E$15-3.5-3.1)*1000/SOTP!$B$7</f>
        <v>871.747720413642</v>
      </c>
      <c r="D7" s="40" t="n">
        <f aca="false">((SOTP!$B$12*(1+0.065)*(1-((1+0.065)/(1+$A7))^5)/($A7-0.065)+SOTP!$B$12*(1+0.065)^5*(1+0.03)/($A7-0.03)/(1+$A7)^5)+(D$4*(1+0.08)*(1-((1+0.08)/(1+0.1125))^10)/(0.1125-0.08)+D$4*(1+0.08)^10*(1+SOTP!$B$6)/(0.1125-SOTP!$B$6)/(1+0.1125)^10)+'Two-Stage'!$I$7+SOTP!$E$15-3.5-3.1)*1000/SOTP!$B$7</f>
        <v>881.271705183107</v>
      </c>
    </row>
    <row r="8" customFormat="false" ht="15" hidden="false" customHeight="false" outlineLevel="0" collapsed="false">
      <c r="A8" s="52" t="n">
        <v>0.09</v>
      </c>
      <c r="B8" s="40" t="n">
        <f aca="false">((SOTP!$B$12*(1+0.065)*(1-((1+0.065)/(1+$A8))^5)/($A8-0.065)+SOTP!$B$12*(1+0.065)^5*(1+0.03)/($A8-0.03)/(1+$A8)^5)+(B$4*(1+0.08)*(1-((1+0.08)/(1+0.1125))^10)/(0.1125-0.08)+B$4*(1+0.08)^10*(1+SOTP!$B$6)/(0.1125-SOTP!$B$6)/(1+0.1125)^10)+'Two-Stage'!$I$7+SOTP!$E$15-3.5-3.1)*1000/SOTP!$B$7</f>
        <v>829.329491329671</v>
      </c>
      <c r="C8" s="40" t="n">
        <f aca="false">((SOTP!$B$12*(1+0.065)*(1-((1+0.065)/(1+$A8))^5)/($A8-0.065)+SOTP!$B$12*(1+0.065)^5*(1+0.03)/($A8-0.03)/(1+$A8)^5)+(C$4*(1+0.08)*(1-((1+0.08)/(1+0.1125))^10)/(0.1125-0.08)+C$4*(1+0.08)^10*(1+SOTP!$B$6)/(0.1125-SOTP!$B$6)/(1+0.1125)^10)+'Two-Stage'!$I$7+SOTP!$E$15-3.5-3.1)*1000/SOTP!$B$7</f>
        <v>838.853476099135</v>
      </c>
      <c r="D8" s="40" t="n">
        <f aca="false">((SOTP!$B$12*(1+0.065)*(1-((1+0.065)/(1+$A8))^5)/($A8-0.065)+SOTP!$B$12*(1+0.065)^5*(1+0.03)/($A8-0.03)/(1+$A8)^5)+(D$4*(1+0.08)*(1-((1+0.08)/(1+0.1125))^10)/(0.1125-0.08)+D$4*(1+0.08)^10*(1+SOTP!$B$6)/(0.1125-SOTP!$B$6)/(1+0.1125)^10)+'Two-Stage'!$I$7+SOTP!$E$15-3.5-3.1)*1000/SOTP!$B$7</f>
        <v>848.377460868599</v>
      </c>
    </row>
    <row r="10" customFormat="false" ht="15" hidden="false" customHeight="false" outlineLevel="0" collapsed="false">
      <c r="A10" s="2" t="s">
        <v>68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C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6"/>
    <col collapsed="false" customWidth="true" hidden="false" outlineLevel="0" max="3" min="3" style="0" width="18"/>
  </cols>
  <sheetData>
    <row r="1" customFormat="false" ht="17.35" hidden="false" customHeight="false" outlineLevel="0" collapsed="false">
      <c r="A1" s="31" t="s">
        <v>69</v>
      </c>
    </row>
    <row r="3" customFormat="false" ht="15" hidden="false" customHeight="false" outlineLevel="0" collapsed="false">
      <c r="A3" s="36" t="s">
        <v>6</v>
      </c>
      <c r="B3" s="35" t="n">
        <f aca="false">SOTP!B8</f>
        <v>1085</v>
      </c>
    </row>
    <row r="5" customFormat="false" ht="15" hidden="false" customHeight="false" outlineLevel="0" collapsed="false">
      <c r="A5" s="3" t="s">
        <v>70</v>
      </c>
      <c r="B5" s="54" t="s">
        <v>71</v>
      </c>
      <c r="C5" s="54" t="s">
        <v>72</v>
      </c>
    </row>
    <row r="6" customFormat="false" ht="15" hidden="false" customHeight="false" outlineLevel="0" collapsed="false">
      <c r="A6" s="5" t="s">
        <v>73</v>
      </c>
      <c r="B6" s="55" t="n">
        <f aca="false">SOTP!F22</f>
        <v>907.637046340199</v>
      </c>
      <c r="C6" s="56" t="n">
        <f aca="false">B6/$B$3-1</f>
        <v>-0.163468160055116</v>
      </c>
    </row>
    <row r="7" customFormat="false" ht="15" hidden="false" customHeight="false" outlineLevel="0" collapsed="false">
      <c r="A7" s="5" t="s">
        <v>74</v>
      </c>
      <c r="B7" s="57" t="n">
        <v>825</v>
      </c>
      <c r="C7" s="56" t="n">
        <f aca="false">B7/$B$3-1</f>
        <v>-0.23963133640553</v>
      </c>
    </row>
    <row r="8" customFormat="false" ht="15" hidden="false" customHeight="false" outlineLevel="0" collapsed="false">
      <c r="A8" s="5" t="s">
        <v>75</v>
      </c>
      <c r="B8" s="58" t="n">
        <f aca="false">B3</f>
        <v>1085</v>
      </c>
      <c r="C8" s="56" t="n">
        <f aca="false">B8/$B$3-1</f>
        <v>0</v>
      </c>
    </row>
    <row r="10" customFormat="false" ht="15" hidden="false" customHeight="false" outlineLevel="0" collapsed="false">
      <c r="A10" s="59" t="s">
        <v>76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C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18"/>
    <col collapsed="false" customWidth="true" hidden="false" outlineLevel="0" max="3" min="3" style="0" width="56"/>
  </cols>
  <sheetData>
    <row r="1" customFormat="false" ht="17.35" hidden="false" customHeight="false" outlineLevel="0" collapsed="false">
      <c r="A1" s="31" t="s">
        <v>77</v>
      </c>
    </row>
    <row r="3" customFormat="false" ht="15" hidden="false" customHeight="false" outlineLevel="0" collapsed="false">
      <c r="A3" s="3" t="s">
        <v>78</v>
      </c>
      <c r="B3" s="54" t="s">
        <v>79</v>
      </c>
      <c r="C3" s="3" t="s">
        <v>80</v>
      </c>
    </row>
    <row r="4" customFormat="false" ht="15" hidden="false" customHeight="false" outlineLevel="0" collapsed="false">
      <c r="A4" s="5" t="s">
        <v>81</v>
      </c>
      <c r="B4" s="60" t="s">
        <v>82</v>
      </c>
      <c r="C4" s="61" t="s">
        <v>83</v>
      </c>
    </row>
    <row r="5" customFormat="false" ht="15" hidden="false" customHeight="false" outlineLevel="0" collapsed="false">
      <c r="A5" s="5" t="s">
        <v>84</v>
      </c>
      <c r="B5" s="60" t="s">
        <v>85</v>
      </c>
      <c r="C5" s="61" t="s">
        <v>86</v>
      </c>
    </row>
    <row r="6" customFormat="false" ht="15" hidden="false" customHeight="false" outlineLevel="0" collapsed="false">
      <c r="A6" s="5" t="s">
        <v>87</v>
      </c>
      <c r="B6" s="60" t="s">
        <v>88</v>
      </c>
      <c r="C6" s="61" t="s">
        <v>89</v>
      </c>
    </row>
    <row r="7" customFormat="false" ht="15" hidden="false" customHeight="false" outlineLevel="0" collapsed="false">
      <c r="A7" s="5" t="s">
        <v>90</v>
      </c>
      <c r="B7" s="60" t="s">
        <v>91</v>
      </c>
      <c r="C7" s="61" t="s">
        <v>92</v>
      </c>
    </row>
    <row r="8" customFormat="false" ht="15" hidden="false" customHeight="false" outlineLevel="0" collapsed="false">
      <c r="A8" s="5" t="s">
        <v>93</v>
      </c>
      <c r="B8" s="60" t="s">
        <v>94</v>
      </c>
      <c r="C8" s="61" t="s">
        <v>95</v>
      </c>
    </row>
    <row r="9" customFormat="false" ht="15" hidden="false" customHeight="false" outlineLevel="0" collapsed="false">
      <c r="A9" s="5" t="s">
        <v>96</v>
      </c>
      <c r="B9" s="60" t="s">
        <v>97</v>
      </c>
      <c r="C9" s="61" t="s">
        <v>98</v>
      </c>
    </row>
    <row r="10" customFormat="false" ht="15" hidden="false" customHeight="false" outlineLevel="0" collapsed="false">
      <c r="A10" s="5" t="s">
        <v>99</v>
      </c>
      <c r="B10" s="60" t="s">
        <v>100</v>
      </c>
      <c r="C10" s="61" t="s">
        <v>101</v>
      </c>
    </row>
    <row r="11" customFormat="false" ht="15" hidden="false" customHeight="false" outlineLevel="0" collapsed="false">
      <c r="A11" s="5" t="s">
        <v>102</v>
      </c>
      <c r="B11" s="60" t="s">
        <v>103</v>
      </c>
      <c r="C11" s="61" t="s">
        <v>104</v>
      </c>
    </row>
    <row r="12" customFormat="false" ht="15" hidden="false" customHeight="false" outlineLevel="0" collapsed="false">
      <c r="A12" s="5" t="s">
        <v>105</v>
      </c>
      <c r="B12" s="60" t="s">
        <v>106</v>
      </c>
      <c r="C12" s="61" t="s">
        <v>107</v>
      </c>
    </row>
    <row r="13" customFormat="false" ht="15" hidden="false" customHeight="false" outlineLevel="0" collapsed="false">
      <c r="A13" s="5" t="s">
        <v>108</v>
      </c>
      <c r="B13" s="60" t="s">
        <v>109</v>
      </c>
      <c r="C13" s="61" t="s">
        <v>110</v>
      </c>
    </row>
    <row r="14" customFormat="false" ht="15" hidden="false" customHeight="false" outlineLevel="0" collapsed="false">
      <c r="A14" s="5" t="s">
        <v>111</v>
      </c>
      <c r="B14" s="60" t="s">
        <v>112</v>
      </c>
      <c r="C14" s="61" t="s">
        <v>113</v>
      </c>
    </row>
    <row r="15" customFormat="false" ht="15" hidden="false" customHeight="false" outlineLevel="0" collapsed="false">
      <c r="A15" s="5" t="s">
        <v>114</v>
      </c>
      <c r="B15" s="60" t="s">
        <v>115</v>
      </c>
      <c r="C15" s="61" t="s">
        <v>116</v>
      </c>
    </row>
    <row r="17" customFormat="false" ht="15" hidden="false" customHeight="false" outlineLevel="0" collapsed="false">
      <c r="A17" s="2" t="s">
        <v>117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2026-06-19T17:10:38Z</dcterms:created>
  <dc:creator>openpyxl</dc:creator>
  <dc:description/>
  <dc:language>en-US</dc:language>
  <cp:lastModifiedBy/>
  <dcterms:modified xsi:type="dcterms:W3CDTF">2026-06-19T17:10:38Z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