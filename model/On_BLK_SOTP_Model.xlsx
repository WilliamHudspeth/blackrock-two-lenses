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TP" sheetId="1" state="visible" r:id="rId3"/>
    <sheet name="Sensitivity" sheetId="2" state="visible" r:id="rId4"/>
    <sheet name="Two Lenses" sheetId="3" state="visible" r:id="rId5"/>
    <sheet name="Assump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Source: Federal Reserve H.15, 10Y constant maturity, June 2026 (refreshed from 4.30% April draft)</t>
        </r>
      </text>
    </comment>
    <comment ref="B6" authorId="0">
      <text>
        <r>
          <rPr>
            <sz val="10"/>
            <rFont val="Arial"/>
            <family val="2"/>
          </rPr>
          <t xml:space="preserve">Source: Damodaran April 2026 country-risk update, geographic-weighted to BLK revenue mix</t>
        </r>
      </text>
    </comment>
    <comment ref="B7" authorId="0">
      <text>
        <r>
          <rPr>
            <sz val="10"/>
            <rFont val="Arial"/>
            <family val="2"/>
          </rPr>
          <t xml:space="preserve">Source: BLK 2025 Annual Report</t>
        </r>
      </text>
    </comment>
    <comment ref="E16" authorId="0">
      <text>
        <r>
          <rPr>
            <sz val="10"/>
            <rFont val="Arial"/>
            <family val="2"/>
          </rPr>
          <t xml:space="preserve">Source: BLK 10-K 2024, $9B debt less $5.5B cash</t>
        </r>
      </text>
    </comment>
    <comment ref="E17" authorId="0">
      <text>
        <r>
          <rPr>
            <sz val="10"/>
            <rFont val="Arial"/>
            <family val="2"/>
          </rPr>
          <t xml:space="preserve">Author estimate per BLK segment disclosures</t>
        </r>
      </text>
    </comment>
    <comment ref="E18" authorId="0">
      <text>
        <r>
          <rPr>
            <sz val="10"/>
            <rFont val="Arial"/>
            <family val="2"/>
          </rPr>
          <t xml:space="preserve">Platform premium over mechanical SOTP ≈ +$113/sh — the quantified distance between the two lenses; the Rate-Sensitive lens omits it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Low</t>
        </r>
      </text>
    </comment>
    <comment ref="C4" authorId="0">
      <text>
        <r>
          <rPr>
            <sz val="10"/>
            <rFont val="Arial"/>
            <family val="2"/>
          </rPr>
          <t xml:space="preserve">Base</t>
        </r>
      </text>
    </comment>
    <comment ref="D4" authorId="0">
      <text>
        <r>
          <rPr>
            <sz val="10"/>
            <rFont val="Arial"/>
            <family val="2"/>
          </rPr>
          <t xml:space="preserve">High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NYSE BLK, mid-June 2026 (refreshed from $1,085 April draft)</t>
        </r>
      </text>
    </comment>
    <comment ref="B7" authorId="0">
      <text>
        <r>
          <rPr>
            <sz val="10"/>
            <rFont val="Arial"/>
            <family val="2"/>
          </rPr>
          <t xml:space="preserve">Documented conservative read — applies all Appendix-B overrides at full magnitude</t>
        </r>
      </text>
    </comment>
  </commentList>
</comments>
</file>

<file path=xl/sharedStrings.xml><?xml version="1.0" encoding="utf-8"?>
<sst xmlns="http://schemas.openxmlformats.org/spreadsheetml/2006/main" count="105" uniqueCount="105">
  <si>
    <t xml:space="preserve">BlackRock, Inc. — Sum-of-the-Parts Valuation</t>
  </si>
  <si>
    <t xml:space="preserve">Platform Compounder lens  ·  base case  ·  market data mid-June 2026</t>
  </si>
  <si>
    <t xml:space="preserve">KEY INPUTS</t>
  </si>
  <si>
    <t xml:space="preserve">Risk-free rate (Rf), 10Y UST</t>
  </si>
  <si>
    <t xml:space="preserve">Blended equity risk premium</t>
  </si>
  <si>
    <t xml:space="preserve">Shares outstanding (mm)</t>
  </si>
  <si>
    <t xml:space="preserve">SUM-OF-THE-PARTS  (each segment via Gordon Growth: V = FCFE × (1+g) / (Ke − g))</t>
  </si>
  <si>
    <t xml:space="preserve">Segment</t>
  </si>
  <si>
    <t xml:space="preserve">FCFE ($B)</t>
  </si>
  <si>
    <t xml:space="preserve">g</t>
  </si>
  <si>
    <t xml:space="preserve">Ke</t>
  </si>
  <si>
    <t xml:space="preserve">Value ($B)</t>
  </si>
  <si>
    <t xml:space="preserve">$ / share</t>
  </si>
  <si>
    <t xml:space="preserve">iShares &amp; Public Markets</t>
  </si>
  <si>
    <t xml:space="preserve">Aladdin Technology (prob-weighted)</t>
  </si>
  <si>
    <t xml:space="preserve">GIP Infrastructure</t>
  </si>
  <si>
    <t xml:space="preserve">HPS Private Credit</t>
  </si>
  <si>
    <t xml:space="preserve">Gross segment sum</t>
  </si>
  <si>
    <t xml:space="preserve">Less: net debt</t>
  </si>
  <si>
    <t xml:space="preserve">Less: co-invest capital drag</t>
  </si>
  <si>
    <t xml:space="preserve">Plus: platform / operating-leverage overlay</t>
  </si>
  <si>
    <t xml:space="preserve">NET SOTP — Platform Compounder lens</t>
  </si>
  <si>
    <t xml:space="preserve">BLENDED COST OF EQUITY CHECK (op-income weighted)</t>
  </si>
  <si>
    <t xml:space="preserve">Weights: iShares / Aladdin / HPS / GIP</t>
  </si>
  <si>
    <t xml:space="preserve">Blended Ke (should ≈ 8.92%)</t>
  </si>
  <si>
    <t xml:space="preserve">Sensitivity — fair value per share</t>
  </si>
  <si>
    <t xml:space="preserve">Rows: iShares cost of equity   ·   Columns: Aladdin probability-weighted FCFE ($B)</t>
  </si>
  <si>
    <t xml:space="preserve">iShares Ke  \  Aladdin FCFE</t>
  </si>
  <si>
    <t xml:space="preserve">Central case (Ke 8.50%, Aladdin $0.575B) ties to the $959 base.</t>
  </si>
  <si>
    <t xml:space="preserve">Defensible range across the grid: roughly $885 – $1,045.</t>
  </si>
  <si>
    <t xml:space="preserve">One Asset, Two Lenses — the bridge</t>
  </si>
  <si>
    <t xml:space="preserve">Current market price ($/sh)</t>
  </si>
  <si>
    <t xml:space="preserve">LENS</t>
  </si>
  <si>
    <t xml:space="preserve">Fair value $/sh</t>
  </si>
  <si>
    <t xml:space="preserve">vs. current price</t>
  </si>
  <si>
    <t xml:space="preserve">Platform Compounder (base case)</t>
  </si>
  <si>
    <t xml:space="preserve">Rate-Sensitive Asset Manager</t>
  </si>
  <si>
    <t xml:space="preserve">825</t>
  </si>
  <si>
    <t xml:space="preserve">Market-implied (the third lens)</t>
  </si>
  <si>
    <t xml:space="preserve">SCENARIO</t>
  </si>
  <si>
    <t xml:space="preserve">$/sh</t>
  </si>
  <si>
    <t xml:space="preserve">upside / (downside)</t>
  </si>
  <si>
    <t xml:space="preserve">Bull — $35B 2030 path; Aladdin re-rates</t>
  </si>
  <si>
    <t xml:space="preserve">Base — platform lens</t>
  </si>
  <si>
    <t xml:space="preserve">Bear — rate-sensitive lens dominates</t>
  </si>
  <si>
    <t xml:space="preserve">Recommendation: HOLD. Skew unfavorable above $1,000; accumulate in the high-$900s where the lenses converge.</t>
  </si>
  <si>
    <t xml:space="preserve">Key Assumptions &amp; Sources</t>
  </si>
  <si>
    <t xml:space="preserve">Input</t>
  </si>
  <si>
    <t xml:space="preserve">Value</t>
  </si>
  <si>
    <t xml:space="preserve">Source / note  (refreshed items flagged)</t>
  </si>
  <si>
    <t xml:space="preserve">Share price</t>
  </si>
  <si>
    <t xml:space="preserve">~$1,050</t>
  </si>
  <si>
    <t xml:space="preserve">NYSE BLK, mid-June 2026  [REFRESHED from $1,085]</t>
  </si>
  <si>
    <t xml:space="preserve">Market cap</t>
  </si>
  <si>
    <t xml:space="preserve">~$163B</t>
  </si>
  <si>
    <t xml:space="preserve">Price × 155M shares  [REFRESHED]</t>
  </si>
  <si>
    <t xml:space="preserve">AUM</t>
  </si>
  <si>
    <t xml:space="preserve">$13.9T</t>
  </si>
  <si>
    <t xml:space="preserve">BLK Q1 2026 8-K, 3/31/26  [REFRESHED from $14.0T]</t>
  </si>
  <si>
    <t xml:space="preserve">LTM net inflows</t>
  </si>
  <si>
    <t xml:space="preserve">$744B</t>
  </si>
  <si>
    <t xml:space="preserve">BLK Q1 2026 release  [REFRESHED from $698B FY25]</t>
  </si>
  <si>
    <t xml:space="preserve">Organic base-fee growth</t>
  </si>
  <si>
    <t xml:space="preserve">10% LTM / 8% Q1</t>
  </si>
  <si>
    <t xml:space="preserve">BLK Q1 2026 — best Q1 in 5 years  [NEW]</t>
  </si>
  <si>
    <t xml:space="preserve">Q1 2026 adjusted EPS</t>
  </si>
  <si>
    <t xml:space="preserve">$12.53</t>
  </si>
  <si>
    <t xml:space="preserve">Beat $11.48 consensus  [NEW]</t>
  </si>
  <si>
    <t xml:space="preserve">Technology services ACV growth</t>
  </si>
  <si>
    <t xml:space="preserve">+14%</t>
  </si>
  <si>
    <t xml:space="preserve">BLK Q1 2026  [REFRESHED, slight decel]</t>
  </si>
  <si>
    <t xml:space="preserve">Risk-free rate (Rf)</t>
  </si>
  <si>
    <t xml:space="preserve">4.45%</t>
  </si>
  <si>
    <t xml:space="preserve">Fed H.15 10Y, June 2026  [REFRESHED from 4.30%]</t>
  </si>
  <si>
    <t xml:space="preserve">Fed posture</t>
  </si>
  <si>
    <t xml:space="preserve">Hawkish</t>
  </si>
  <si>
    <t xml:space="preserve">New chair Warsh; ~half of FOMC sees a 2026 hike  [NEW]</t>
  </si>
  <si>
    <t xml:space="preserve">Private credit</t>
  </si>
  <si>
    <t xml:space="preserve">Redemptions gated</t>
  </si>
  <si>
    <t xml:space="preserve">~$1.2B gated Mar 2026; renewed pressure Jun 2026  [NEW — key risk]</t>
  </si>
  <si>
    <t xml:space="preserve">Blended ERP</t>
  </si>
  <si>
    <t xml:space="preserve">5.40%</t>
  </si>
  <si>
    <t xml:space="preserve">Damodaran Apr 2026, geographic-weighted</t>
  </si>
  <si>
    <t xml:space="preserve">Terminal growth cap</t>
  </si>
  <si>
    <t xml:space="preserve">Capped at Rf</t>
  </si>
  <si>
    <t xml:space="preserve">Damodaran (2012): no firm outgrows the economy forever</t>
  </si>
  <si>
    <t xml:space="preserve">Net debt</t>
  </si>
  <si>
    <t xml:space="preserve">−$3.5B</t>
  </si>
  <si>
    <t xml:space="preserve">BLK 10-K 2024: $9B debt − $5.5B cash</t>
  </si>
  <si>
    <t xml:space="preserve">Co-invest capital drag</t>
  </si>
  <si>
    <t xml:space="preserve">−$3.1B</t>
  </si>
  <si>
    <t xml:space="preserve">Author estimate per segment disclosures</t>
  </si>
  <si>
    <t xml:space="preserve">Shares outstanding</t>
  </si>
  <si>
    <t xml:space="preserve">155M</t>
  </si>
  <si>
    <t xml:space="preserve">BLK 2025 Annual Report</t>
  </si>
  <si>
    <t xml:space="preserve">Peer median EV/EBIT</t>
  </si>
  <si>
    <t xml:space="preserve">~11x</t>
  </si>
  <si>
    <t xml:space="preserve">Listed pure-play asset managers</t>
  </si>
  <si>
    <t xml:space="preserve">I&amp;AM sector median EV/EBIT</t>
  </si>
  <si>
    <t xml:space="preserve">20.4x</t>
  </si>
  <si>
    <t xml:space="preserve">Damodaran Jan 2026 (n=283)</t>
  </si>
  <si>
    <t xml:space="preserve">BLK EV/EBIT</t>
  </si>
  <si>
    <t xml:space="preserve">~16x</t>
  </si>
  <si>
    <t xml:space="preserve">Hybrid: premium to peers, discount to sector</t>
  </si>
  <si>
    <t xml:space="preserve">This workbook is an academic exercise and does not constitute investment advice.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</si>
</sst>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#,##0"/>
    <numFmt numFmtId="167" formatCode="0.000"/>
    <numFmt numFmtId="168" formatCode="0.0%"/>
    <numFmt numFmtId="169" formatCode="\$#,##0.0\B"/>
    <numFmt numFmtId="170" formatCode="\$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6335E"/>
      <name val="Arial"/>
      <family val="0"/>
      <charset val="1"/>
    </font>
    <font>
      <i val="true"/>
      <sz val="9"/>
      <color rgb="FF6B6B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6335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name val="Arial"/>
      <family val="2"/>
    </font>
    <font>
      <b val="true"/>
      <sz val="14"/>
      <color rgb="FF16335E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16335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35E"/>
        <bgColor rgb="FF333333"/>
      </patternFill>
    </fill>
    <fill>
      <patternFill patternType="solid">
        <fgColor rgb="FF6B6B73"/>
        <bgColor rgb="FF808080"/>
      </patternFill>
    </fill>
    <fill>
      <patternFill patternType="solid">
        <fgColor rgb="FFF1EEE7"/>
        <bgColor rgb="FFFFFFFF"/>
      </patternFill>
    </fill>
    <fill>
      <patternFill patternType="solid">
        <fgColor rgb="FFD8E8C8"/>
        <bgColor rgb="FFD9D5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5CC"/>
      </left>
      <right style="thin">
        <color rgb="FFD9D5CC"/>
      </right>
      <top style="thin">
        <color rgb="FFD9D5CC"/>
      </top>
      <bottom style="thin">
        <color rgb="FFD9D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EEE7"/>
      <rgbColor rgb="FFCCFFFF"/>
      <rgbColor rgb="FF660066"/>
      <rgbColor rgb="FFFF8080"/>
      <rgbColor rgb="FF0066CC"/>
      <rgbColor rgb="FFD9D5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8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73"/>
      <rgbColor rgb="FF969696"/>
      <rgbColor rgb="FF1633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4" min="3" style="0" width="9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3"/>
    <col collapsed="false" customWidth="true" hidden="false" outlineLevel="0" max="8" min="8" style="0" width="4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3</v>
      </c>
      <c r="B5" s="6" t="n">
        <v>0.0445</v>
      </c>
    </row>
    <row r="6" customFormat="false" ht="15" hidden="false" customHeight="false" outlineLevel="0" collapsed="false">
      <c r="A6" s="5" t="s">
        <v>4</v>
      </c>
      <c r="B6" s="6" t="n">
        <v>0.054</v>
      </c>
    </row>
    <row r="7" customFormat="false" ht="15" hidden="false" customHeight="false" outlineLevel="0" collapsed="false">
      <c r="A7" s="5" t="s">
        <v>5</v>
      </c>
      <c r="B7" s="7" t="n">
        <v>155</v>
      </c>
    </row>
    <row r="9" customFormat="false" ht="15" hidden="false" customHeight="false" outlineLevel="0" collapsed="false">
      <c r="A9" s="3" t="s">
        <v>6</v>
      </c>
      <c r="B9" s="4"/>
      <c r="C9" s="4"/>
      <c r="D9" s="4"/>
      <c r="E9" s="4"/>
      <c r="F9" s="4"/>
    </row>
    <row r="10" customFormat="false" ht="15" hidden="false" customHeight="false" outlineLevel="0" collapsed="false">
      <c r="A10" s="8" t="s">
        <v>7</v>
      </c>
      <c r="B10" s="9" t="s">
        <v>8</v>
      </c>
      <c r="C10" s="9" t="s">
        <v>9</v>
      </c>
      <c r="D10" s="9" t="s">
        <v>10</v>
      </c>
      <c r="E10" s="9" t="s">
        <v>11</v>
      </c>
      <c r="F10" s="9" t="s">
        <v>12</v>
      </c>
    </row>
    <row r="11" customFormat="false" ht="15" hidden="false" customHeight="false" outlineLevel="0" collapsed="false">
      <c r="A11" s="5" t="s">
        <v>13</v>
      </c>
      <c r="B11" s="10" t="n">
        <v>5.79</v>
      </c>
      <c r="C11" s="11" t="n">
        <v>0.03</v>
      </c>
      <c r="D11" s="6" t="n">
        <v>0.085</v>
      </c>
      <c r="E11" s="12" t="n">
        <f aca="false">B11*(1+C11)/(D11-C11)</f>
        <v>108.430909090909</v>
      </c>
      <c r="F11" s="13" t="n">
        <f aca="false">E11*1000/$B$7</f>
        <v>699.554252199413</v>
      </c>
    </row>
    <row r="12" customFormat="false" ht="15" hidden="false" customHeight="false" outlineLevel="0" collapsed="false">
      <c r="A12" s="5" t="s">
        <v>14</v>
      </c>
      <c r="B12" s="10" t="n">
        <v>0.575</v>
      </c>
      <c r="C12" s="11" t="n">
        <v>0.08</v>
      </c>
      <c r="D12" s="6" t="n">
        <v>0.1125</v>
      </c>
      <c r="E12" s="12" t="n">
        <f aca="false">B12*(1+C12)/(D12-C12)</f>
        <v>19.1076923076923</v>
      </c>
      <c r="F12" s="13" t="n">
        <f aca="false">E12*1000/$B$7</f>
        <v>123.275434243176</v>
      </c>
    </row>
    <row r="13" customFormat="false" ht="15" hidden="false" customHeight="false" outlineLevel="0" collapsed="false">
      <c r="A13" s="5" t="s">
        <v>15</v>
      </c>
      <c r="B13" s="10" t="n">
        <v>0.248</v>
      </c>
      <c r="C13" s="11" t="n">
        <v>0.05</v>
      </c>
      <c r="D13" s="6" t="n">
        <v>0.1</v>
      </c>
      <c r="E13" s="12" t="n">
        <f aca="false">B13*(1+C13)/(D13-C13)</f>
        <v>5.208</v>
      </c>
      <c r="F13" s="13" t="n">
        <f aca="false">E13*1000/$B$7</f>
        <v>33.6</v>
      </c>
    </row>
    <row r="14" customFormat="false" ht="15" hidden="false" customHeight="false" outlineLevel="0" collapsed="false">
      <c r="A14" s="5" t="s">
        <v>16</v>
      </c>
      <c r="B14" s="10" t="n">
        <v>0.288</v>
      </c>
      <c r="C14" s="11" t="n">
        <v>0.04</v>
      </c>
      <c r="D14" s="6" t="n">
        <v>0.1</v>
      </c>
      <c r="E14" s="12" t="n">
        <f aca="false">B14*(1+C14)/(D14-C14)</f>
        <v>4.992</v>
      </c>
      <c r="F14" s="13" t="n">
        <f aca="false">E14*1000/$B$7</f>
        <v>32.2064516129032</v>
      </c>
    </row>
    <row r="15" customFormat="false" ht="15" hidden="false" customHeight="false" outlineLevel="0" collapsed="false">
      <c r="A15" s="14" t="s">
        <v>17</v>
      </c>
      <c r="B15" s="15"/>
      <c r="C15" s="15"/>
      <c r="D15" s="15"/>
      <c r="E15" s="16" t="n">
        <f aca="false">SUM(E11:E14)</f>
        <v>137.738601398601</v>
      </c>
      <c r="F15" s="17" t="n">
        <f aca="false">E15*1000/$B$7</f>
        <v>888.636138055493</v>
      </c>
    </row>
    <row r="16" customFormat="false" ht="15" hidden="false" customHeight="false" outlineLevel="0" collapsed="false">
      <c r="A16" s="18" t="s">
        <v>18</v>
      </c>
      <c r="B16" s="19"/>
      <c r="C16" s="19"/>
      <c r="D16" s="19"/>
      <c r="E16" s="20" t="n">
        <v>-3.5</v>
      </c>
      <c r="F16" s="21" t="n">
        <f aca="false">E16*1000/$B$7</f>
        <v>-22.5806451612903</v>
      </c>
    </row>
    <row r="17" customFormat="false" ht="15" hidden="false" customHeight="false" outlineLevel="0" collapsed="false">
      <c r="A17" s="18" t="s">
        <v>19</v>
      </c>
      <c r="B17" s="19"/>
      <c r="C17" s="19"/>
      <c r="D17" s="19"/>
      <c r="E17" s="20" t="n">
        <v>-3.1</v>
      </c>
      <c r="F17" s="21" t="n">
        <f aca="false">E17*1000/$B$7</f>
        <v>-20</v>
      </c>
    </row>
    <row r="18" customFormat="false" ht="15" hidden="false" customHeight="false" outlineLevel="0" collapsed="false">
      <c r="A18" s="18" t="s">
        <v>20</v>
      </c>
      <c r="B18" s="19"/>
      <c r="C18" s="19"/>
      <c r="D18" s="19"/>
      <c r="E18" s="20" t="n">
        <v>17.5</v>
      </c>
      <c r="F18" s="21" t="n">
        <f aca="false">E18*1000/$B$7</f>
        <v>112.903225806452</v>
      </c>
    </row>
    <row r="19" customFormat="false" ht="15" hidden="false" customHeight="false" outlineLevel="0" collapsed="false">
      <c r="A19" s="22" t="s">
        <v>21</v>
      </c>
      <c r="B19" s="4"/>
      <c r="C19" s="4"/>
      <c r="D19" s="4"/>
      <c r="E19" s="23" t="n">
        <f aca="false">E15+E16+E17+E18</f>
        <v>148.638601398601</v>
      </c>
      <c r="F19" s="24" t="n">
        <f aca="false">E19*1000/$B$7</f>
        <v>958.958718700654</v>
      </c>
    </row>
    <row r="21" customFormat="false" ht="15" hidden="false" customHeight="false" outlineLevel="0" collapsed="false">
      <c r="A21" s="25" t="s">
        <v>22</v>
      </c>
      <c r="B21" s="4"/>
      <c r="C21" s="4"/>
      <c r="D21" s="4"/>
    </row>
    <row r="22" customFormat="false" ht="15" hidden="false" customHeight="false" outlineLevel="0" collapsed="false">
      <c r="A22" s="26" t="s">
        <v>23</v>
      </c>
      <c r="B22" s="11" t="n">
        <v>0.75</v>
      </c>
      <c r="C22" s="11" t="n">
        <v>0.12</v>
      </c>
      <c r="D22" s="11" t="n">
        <v>0.07</v>
      </c>
      <c r="E22" s="11" t="n">
        <v>0.05</v>
      </c>
    </row>
    <row r="23" customFormat="false" ht="15" hidden="false" customHeight="false" outlineLevel="0" collapsed="false">
      <c r="A23" s="27" t="s">
        <v>24</v>
      </c>
      <c r="B23" s="28" t="n">
        <f aca="false">B22*D11+C22*D12+D22*D14+E22*D13</f>
        <v>0.08925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  <col collapsed="false" customWidth="true" hidden="false" outlineLevel="0" max="5" min="5" style="0" width="3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29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30" t="s">
        <v>27</v>
      </c>
      <c r="B4" s="31" t="n">
        <v>0.5</v>
      </c>
      <c r="C4" s="31" t="n">
        <v>0.575</v>
      </c>
      <c r="D4" s="31" t="n">
        <v>0.65</v>
      </c>
    </row>
    <row r="5" customFormat="false" ht="15" hidden="false" customHeight="false" outlineLevel="0" collapsed="false">
      <c r="A5" s="32" t="n">
        <v>0.09</v>
      </c>
      <c r="B5" s="33" t="n">
        <f aca="false">(SOTP!$B$11*(1+SOTP!$C$11)/($A5-SOTP!$C$11)+B$4*(1+SOTP!$C$12)/(SOTP!$D$12-SOTP!$C$12)+SOTP!$E$13+SOTP!$E$14+SOTP!$E$16+SOTP!$E$17+SOTP!$E$18)*1000/SOTP!$B$7</f>
        <v>884.583126550869</v>
      </c>
      <c r="C5" s="33" t="n">
        <f aca="false">(SOTP!$B$11*(1+SOTP!$C$11)/($A5-SOTP!$C$11)+C$4*(1+SOTP!$C$12)/(SOTP!$D$12-SOTP!$C$12)+SOTP!$E$13+SOTP!$E$14+SOTP!$E$16+SOTP!$E$17+SOTP!$E$18)*1000/SOTP!$B$7</f>
        <v>900.66253101737</v>
      </c>
      <c r="D5" s="33" t="n">
        <f aca="false">(SOTP!$B$11*(1+SOTP!$C$11)/($A5-SOTP!$C$11)+D$4*(1+SOTP!$C$12)/(SOTP!$D$12-SOTP!$C$12)+SOTP!$E$13+SOTP!$E$14+SOTP!$E$16+SOTP!$E$17+SOTP!$E$18)*1000/SOTP!$B$7</f>
        <v>916.741935483871</v>
      </c>
    </row>
    <row r="6" customFormat="false" ht="15" hidden="false" customHeight="false" outlineLevel="0" collapsed="false">
      <c r="A6" s="32" t="n">
        <v>0.0875</v>
      </c>
      <c r="B6" s="33" t="n">
        <f aca="false">(SOTP!$B$11*(1+SOTP!$C$11)/($A6-SOTP!$C$11)+B$4*(1+SOTP!$C$12)/(SOTP!$D$12-SOTP!$C$12)+SOTP!$E$13+SOTP!$E$14+SOTP!$E$16+SOTP!$E$17+SOTP!$E$18)*1000/SOTP!$B$7</f>
        <v>912.463911964613</v>
      </c>
      <c r="C6" s="33" t="n">
        <f aca="false">(SOTP!$B$11*(1+SOTP!$C$11)/($A6-SOTP!$C$11)+C$4*(1+SOTP!$C$12)/(SOTP!$D$12-SOTP!$C$12)+SOTP!$E$13+SOTP!$E$14+SOTP!$E$16+SOTP!$E$17+SOTP!$E$18)*1000/SOTP!$B$7</f>
        <v>928.543316431115</v>
      </c>
      <c r="D6" s="33" t="n">
        <f aca="false">(SOTP!$B$11*(1+SOTP!$C$11)/($A6-SOTP!$C$11)+D$4*(1+SOTP!$C$12)/(SOTP!$D$12-SOTP!$C$12)+SOTP!$E$13+SOTP!$E$14+SOTP!$E$16+SOTP!$E$17+SOTP!$E$18)*1000/SOTP!$B$7</f>
        <v>944.622720897616</v>
      </c>
    </row>
    <row r="7" customFormat="false" ht="15" hidden="false" customHeight="false" outlineLevel="0" collapsed="false">
      <c r="A7" s="32" t="n">
        <v>0.085</v>
      </c>
      <c r="B7" s="33" t="n">
        <f aca="false">(SOTP!$B$11*(1+SOTP!$C$11)/($A7-SOTP!$C$11)+B$4*(1+SOTP!$C$12)/(SOTP!$D$12-SOTP!$C$12)+SOTP!$E$13+SOTP!$E$14+SOTP!$E$16+SOTP!$E$17+SOTP!$E$18)*1000/SOTP!$B$7</f>
        <v>942.879314234153</v>
      </c>
      <c r="C7" s="34" t="n">
        <f aca="false">(SOTP!$B$11*(1+SOTP!$C$11)/($A7-SOTP!$C$11)+C$4*(1+SOTP!$C$12)/(SOTP!$D$12-SOTP!$C$12)+SOTP!$E$13+SOTP!$E$14+SOTP!$E$16+SOTP!$E$17+SOTP!$E$18)*1000/SOTP!$B$7</f>
        <v>958.958718700654</v>
      </c>
      <c r="D7" s="33" t="n">
        <f aca="false">(SOTP!$B$11*(1+SOTP!$C$11)/($A7-SOTP!$C$11)+D$4*(1+SOTP!$C$12)/(SOTP!$D$12-SOTP!$C$12)+SOTP!$E$13+SOTP!$E$14+SOTP!$E$16+SOTP!$E$17+SOTP!$E$18)*1000/SOTP!$B$7</f>
        <v>975.038123167155</v>
      </c>
    </row>
    <row r="8" customFormat="false" ht="15" hidden="false" customHeight="false" outlineLevel="0" collapsed="false">
      <c r="A8" s="32" t="n">
        <v>0.0825</v>
      </c>
      <c r="B8" s="33" t="n">
        <f aca="false">(SOTP!$B$11*(1+SOTP!$C$11)/($A8-SOTP!$C$11)+B$4*(1+SOTP!$C$12)/(SOTP!$D$12-SOTP!$C$12)+SOTP!$E$13+SOTP!$E$14+SOTP!$E$16+SOTP!$E$17+SOTP!$E$18)*1000/SOTP!$B$7</f>
        <v>976.191421481744</v>
      </c>
      <c r="C8" s="33" t="n">
        <f aca="false">(SOTP!$B$11*(1+SOTP!$C$11)/($A8-SOTP!$C$11)+C$4*(1+SOTP!$C$12)/(SOTP!$D$12-SOTP!$C$12)+SOTP!$E$13+SOTP!$E$14+SOTP!$E$16+SOTP!$E$17+SOTP!$E$18)*1000/SOTP!$B$7</f>
        <v>992.270825948245</v>
      </c>
      <c r="D8" s="33" t="n">
        <f aca="false">(SOTP!$B$11*(1+SOTP!$C$11)/($A8-SOTP!$C$11)+D$4*(1+SOTP!$C$12)/(SOTP!$D$12-SOTP!$C$12)+SOTP!$E$13+SOTP!$E$14+SOTP!$E$16+SOTP!$E$17+SOTP!$E$18)*1000/SOTP!$B$7</f>
        <v>1008.35023041475</v>
      </c>
    </row>
    <row r="9" customFormat="false" ht="15" hidden="false" customHeight="false" outlineLevel="0" collapsed="false">
      <c r="A9" s="32" t="n">
        <v>0.08</v>
      </c>
      <c r="B9" s="33" t="n">
        <f aca="false">(SOTP!$B$11*(1+SOTP!$C$11)/($A9-SOTP!$C$11)+B$4*(1+SOTP!$C$12)/(SOTP!$D$12-SOTP!$C$12)+SOTP!$E$13+SOTP!$E$14+SOTP!$E$16+SOTP!$E$17+SOTP!$E$18)*1000/SOTP!$B$7</f>
        <v>1012.83473945409</v>
      </c>
      <c r="C9" s="33" t="n">
        <f aca="false">(SOTP!$B$11*(1+SOTP!$C$11)/($A9-SOTP!$C$11)+C$4*(1+SOTP!$C$12)/(SOTP!$D$12-SOTP!$C$12)+SOTP!$E$13+SOTP!$E$14+SOTP!$E$16+SOTP!$E$17+SOTP!$E$18)*1000/SOTP!$B$7</f>
        <v>1028.9141439206</v>
      </c>
      <c r="D9" s="33" t="n">
        <f aca="false">(SOTP!$B$11*(1+SOTP!$C$11)/($A9-SOTP!$C$11)+D$4*(1+SOTP!$C$12)/(SOTP!$D$12-SOTP!$C$12)+SOTP!$E$13+SOTP!$E$14+SOTP!$E$16+SOTP!$E$17+SOTP!$E$18)*1000/SOTP!$B$7</f>
        <v>1044.9935483871</v>
      </c>
    </row>
    <row r="11" customFormat="false" ht="15" hidden="false" customHeight="false" outlineLevel="0" collapsed="false">
      <c r="A11" s="2" t="s">
        <v>28</v>
      </c>
    </row>
    <row r="12" customFormat="false" ht="15" hidden="false" customHeight="false" outlineLevel="0" collapsed="false">
      <c r="A12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3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29" t="s">
        <v>30</v>
      </c>
    </row>
    <row r="3" customFormat="false" ht="15" hidden="false" customHeight="false" outlineLevel="0" collapsed="false">
      <c r="A3" s="35" t="s">
        <v>31</v>
      </c>
      <c r="B3" s="36" t="n">
        <v>1050</v>
      </c>
      <c r="C3" s="37"/>
    </row>
    <row r="5" customFormat="false" ht="15" hidden="false" customHeight="false" outlineLevel="0" collapsed="false">
      <c r="A5" s="3" t="s">
        <v>32</v>
      </c>
      <c r="B5" s="38" t="s">
        <v>33</v>
      </c>
      <c r="C5" s="38" t="s">
        <v>34</v>
      </c>
    </row>
    <row r="6" customFormat="false" ht="15" hidden="false" customHeight="false" outlineLevel="0" collapsed="false">
      <c r="A6" s="5" t="s">
        <v>35</v>
      </c>
      <c r="B6" s="39" t="n">
        <f aca="false">SOTP!F19</f>
        <v>958.958718700654</v>
      </c>
      <c r="C6" s="40" t="n">
        <f aca="false">B6/$B$3-1</f>
        <v>-0.0867059821898532</v>
      </c>
    </row>
    <row r="7" customFormat="false" ht="15" hidden="false" customHeight="false" outlineLevel="0" collapsed="false">
      <c r="A7" s="5" t="s">
        <v>36</v>
      </c>
      <c r="B7" s="41" t="s">
        <v>37</v>
      </c>
      <c r="C7" s="40" t="n">
        <f aca="false">B7/$B$3-1</f>
        <v>-0.214285714285714</v>
      </c>
    </row>
    <row r="8" customFormat="false" ht="15" hidden="false" customHeight="false" outlineLevel="0" collapsed="false">
      <c r="A8" s="5" t="s">
        <v>38</v>
      </c>
      <c r="B8" s="42" t="n">
        <f aca="false">B3</f>
        <v>1050</v>
      </c>
      <c r="C8" s="40" t="n">
        <f aca="false">B8/$B$3-1</f>
        <v>0</v>
      </c>
    </row>
    <row r="10" customFormat="false" ht="15" hidden="false" customHeight="false" outlineLevel="0" collapsed="false">
      <c r="A10" s="3" t="s">
        <v>39</v>
      </c>
      <c r="B10" s="38" t="s">
        <v>40</v>
      </c>
      <c r="C10" s="38" t="s">
        <v>41</v>
      </c>
    </row>
    <row r="11" customFormat="false" ht="15" hidden="false" customHeight="false" outlineLevel="0" collapsed="false">
      <c r="A11" s="5" t="s">
        <v>42</v>
      </c>
      <c r="B11" s="41" t="n">
        <v>1147</v>
      </c>
      <c r="C11" s="40" t="n">
        <f aca="false">B11/$B$3-1</f>
        <v>0.0923809523809525</v>
      </c>
    </row>
    <row r="12" customFormat="false" ht="15" hidden="false" customHeight="false" outlineLevel="0" collapsed="false">
      <c r="A12" s="5" t="s">
        <v>43</v>
      </c>
      <c r="B12" s="39" t="n">
        <f aca="false">SOTP!F19</f>
        <v>958.958718700654</v>
      </c>
      <c r="C12" s="40" t="n">
        <f aca="false">B12/$B$3-1</f>
        <v>-0.0867059821898532</v>
      </c>
    </row>
    <row r="13" customFormat="false" ht="15" hidden="false" customHeight="false" outlineLevel="0" collapsed="false">
      <c r="A13" s="5" t="s">
        <v>44</v>
      </c>
      <c r="B13" s="41" t="n">
        <v>825</v>
      </c>
      <c r="C13" s="40" t="n">
        <f aca="false">B13/$B$3-1</f>
        <v>-0.214285714285714</v>
      </c>
    </row>
    <row r="15" customFormat="false" ht="15" hidden="false" customHeight="false" outlineLevel="0" collapsed="false">
      <c r="A15" s="4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29" t="s">
        <v>46</v>
      </c>
    </row>
    <row r="3" customFormat="false" ht="15" hidden="false" customHeight="false" outlineLevel="0" collapsed="false">
      <c r="A3" s="3" t="s">
        <v>47</v>
      </c>
      <c r="B3" s="38" t="s">
        <v>48</v>
      </c>
      <c r="C3" s="3" t="s">
        <v>49</v>
      </c>
    </row>
    <row r="4" customFormat="false" ht="15" hidden="false" customHeight="false" outlineLevel="0" collapsed="false">
      <c r="A4" s="5" t="s">
        <v>50</v>
      </c>
      <c r="B4" s="44" t="s">
        <v>51</v>
      </c>
      <c r="C4" s="45" t="s">
        <v>52</v>
      </c>
    </row>
    <row r="5" customFormat="false" ht="15" hidden="false" customHeight="false" outlineLevel="0" collapsed="false">
      <c r="A5" s="5" t="s">
        <v>53</v>
      </c>
      <c r="B5" s="44" t="s">
        <v>54</v>
      </c>
      <c r="C5" s="45" t="s">
        <v>55</v>
      </c>
    </row>
    <row r="6" customFormat="false" ht="15" hidden="false" customHeight="false" outlineLevel="0" collapsed="false">
      <c r="A6" s="5" t="s">
        <v>56</v>
      </c>
      <c r="B6" s="44" t="s">
        <v>57</v>
      </c>
      <c r="C6" s="45" t="s">
        <v>58</v>
      </c>
    </row>
    <row r="7" customFormat="false" ht="15" hidden="false" customHeight="false" outlineLevel="0" collapsed="false">
      <c r="A7" s="5" t="s">
        <v>59</v>
      </c>
      <c r="B7" s="44" t="s">
        <v>60</v>
      </c>
      <c r="C7" s="45" t="s">
        <v>61</v>
      </c>
    </row>
    <row r="8" customFormat="false" ht="15" hidden="false" customHeight="false" outlineLevel="0" collapsed="false">
      <c r="A8" s="5" t="s">
        <v>62</v>
      </c>
      <c r="B8" s="44" t="s">
        <v>63</v>
      </c>
      <c r="C8" s="45" t="s">
        <v>64</v>
      </c>
    </row>
    <row r="9" customFormat="false" ht="15" hidden="false" customHeight="false" outlineLevel="0" collapsed="false">
      <c r="A9" s="5" t="s">
        <v>65</v>
      </c>
      <c r="B9" s="44" t="s">
        <v>66</v>
      </c>
      <c r="C9" s="45" t="s">
        <v>67</v>
      </c>
    </row>
    <row r="10" customFormat="false" ht="15" hidden="false" customHeight="false" outlineLevel="0" collapsed="false">
      <c r="A10" s="5" t="s">
        <v>68</v>
      </c>
      <c r="B10" s="44" t="s">
        <v>69</v>
      </c>
      <c r="C10" s="45" t="s">
        <v>70</v>
      </c>
    </row>
    <row r="11" customFormat="false" ht="15" hidden="false" customHeight="false" outlineLevel="0" collapsed="false">
      <c r="A11" s="5" t="s">
        <v>71</v>
      </c>
      <c r="B11" s="44" t="s">
        <v>72</v>
      </c>
      <c r="C11" s="45" t="s">
        <v>73</v>
      </c>
    </row>
    <row r="12" customFormat="false" ht="15" hidden="false" customHeight="false" outlineLevel="0" collapsed="false">
      <c r="A12" s="5" t="s">
        <v>74</v>
      </c>
      <c r="B12" s="44" t="s">
        <v>75</v>
      </c>
      <c r="C12" s="45" t="s">
        <v>76</v>
      </c>
    </row>
    <row r="13" customFormat="false" ht="15" hidden="false" customHeight="false" outlineLevel="0" collapsed="false">
      <c r="A13" s="5" t="s">
        <v>77</v>
      </c>
      <c r="B13" s="44" t="s">
        <v>78</v>
      </c>
      <c r="C13" s="45" t="s">
        <v>79</v>
      </c>
    </row>
    <row r="14" customFormat="false" ht="15" hidden="false" customHeight="false" outlineLevel="0" collapsed="false">
      <c r="A14" s="5" t="s">
        <v>80</v>
      </c>
      <c r="B14" s="44" t="s">
        <v>81</v>
      </c>
      <c r="C14" s="45" t="s">
        <v>82</v>
      </c>
    </row>
    <row r="15" customFormat="false" ht="15" hidden="false" customHeight="false" outlineLevel="0" collapsed="false">
      <c r="A15" s="5" t="s">
        <v>83</v>
      </c>
      <c r="B15" s="44" t="s">
        <v>84</v>
      </c>
      <c r="C15" s="45" t="s">
        <v>85</v>
      </c>
    </row>
    <row r="16" customFormat="false" ht="15" hidden="false" customHeight="false" outlineLevel="0" collapsed="false">
      <c r="A16" s="5" t="s">
        <v>86</v>
      </c>
      <c r="B16" s="44" t="s">
        <v>87</v>
      </c>
      <c r="C16" s="45" t="s">
        <v>88</v>
      </c>
    </row>
    <row r="17" customFormat="false" ht="15" hidden="false" customHeight="false" outlineLevel="0" collapsed="false">
      <c r="A17" s="5" t="s">
        <v>89</v>
      </c>
      <c r="B17" s="44" t="s">
        <v>90</v>
      </c>
      <c r="C17" s="45" t="s">
        <v>91</v>
      </c>
    </row>
    <row r="18" customFormat="false" ht="15" hidden="false" customHeight="false" outlineLevel="0" collapsed="false">
      <c r="A18" s="5" t="s">
        <v>92</v>
      </c>
      <c r="B18" s="44" t="s">
        <v>93</v>
      </c>
      <c r="C18" s="45" t="s">
        <v>94</v>
      </c>
    </row>
    <row r="19" customFormat="false" ht="15" hidden="false" customHeight="false" outlineLevel="0" collapsed="false">
      <c r="A19" s="5" t="s">
        <v>95</v>
      </c>
      <c r="B19" s="44" t="s">
        <v>96</v>
      </c>
      <c r="C19" s="45" t="s">
        <v>97</v>
      </c>
    </row>
    <row r="20" customFormat="false" ht="15" hidden="false" customHeight="false" outlineLevel="0" collapsed="false">
      <c r="A20" s="5" t="s">
        <v>98</v>
      </c>
      <c r="B20" s="44" t="s">
        <v>99</v>
      </c>
      <c r="C20" s="45" t="s">
        <v>100</v>
      </c>
    </row>
    <row r="21" customFormat="false" ht="15" hidden="false" customHeight="false" outlineLevel="0" collapsed="false">
      <c r="A21" s="5" t="s">
        <v>101</v>
      </c>
      <c r="B21" s="44" t="s">
        <v>102</v>
      </c>
      <c r="C21" s="45" t="s">
        <v>103</v>
      </c>
    </row>
    <row r="23" customFormat="false" ht="15" hidden="false" customHeight="false" outlineLevel="0" collapsed="false">
      <c r="A23" s="2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2026-06-19T14:17:34Z</dcterms:created>
  <dc:creator>openpyxl</dc:creator>
  <dc:description/>
  <dc:language>en-US</dc:language>
  <cp:lastModifiedBy/>
  <dcterms:modified xsi:type="dcterms:W3CDTF">2026-06-19T14:17:34Z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